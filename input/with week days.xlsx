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sheet1!$A$1:$Z$46</definedName>
  </definedNames>
  <calcPr/>
  <extLst>
    <ext uri="GoogleSheetsCustomDataVersion2">
      <go:sheetsCustomData xmlns:go="http://customooxmlschemas.google.com/" r:id="rId5" roundtripDataChecksum="XSXsmCXZ5QDAOL2O3LnCPo30pWaV3s22woXAAo1In9Q="/>
    </ext>
  </extLst>
</workbook>
</file>

<file path=xl/sharedStrings.xml><?xml version="1.0" encoding="utf-8"?>
<sst xmlns="http://schemas.openxmlformats.org/spreadsheetml/2006/main" count="4050" uniqueCount="1851">
  <si>
    <t>Event Name</t>
  </si>
  <si>
    <t>Category</t>
  </si>
  <si>
    <t>Date</t>
  </si>
  <si>
    <t>Day</t>
  </si>
  <si>
    <t>Time</t>
  </si>
  <si>
    <t>Location</t>
  </si>
  <si>
    <t>Description</t>
  </si>
  <si>
    <t>Contact Person</t>
  </si>
  <si>
    <t>Contact Number</t>
  </si>
  <si>
    <t>Contact Email</t>
  </si>
  <si>
    <t>Charges</t>
  </si>
  <si>
    <t>Target Audience / Prerequisites</t>
  </si>
  <si>
    <t>External Link</t>
  </si>
  <si>
    <t>Poster File Name</t>
  </si>
  <si>
    <t>Poster Link</t>
  </si>
  <si>
    <t>Uploader Contact</t>
  </si>
  <si>
    <t>Upload Date</t>
  </si>
  <si>
    <t>Upload Time</t>
  </si>
  <si>
    <t>Musical Evening with Misra's</t>
  </si>
  <si>
    <t>Music / Classical</t>
  </si>
  <si>
    <t>Wednesday</t>
  </si>
  <si>
    <t>Aurodhan Art Gallery, 33 Francois Martin Street, Kuruchikuppam, Pondicherry</t>
  </si>
  <si>
    <t>A musical evening featuring Debdeep Misra (Vocal), Banani Misra Sanyal (Vocal), and Debasis Misra (Tabla and Sitar). Biographies: Debdeep Misra, grandson of Pandit Bishnu Sewak Misra of Benaras Gharana, disciple of Aniruddha Bhattacharya, awarded Giridhari ratna samman, Sangeet Pratibha Samman, etc. Banani Misra Sanyal, disciple of Padma Vibhushan Vidushi Girija Devi and Pt. A.T. Kanan, AIR artist since 1990. Debasis Misra, son of Pandit Bishnu Sewak Misra, trained in tabla and sitar, performing post retirement.</t>
  </si>
  <si>
    <t>Lalit Verma (organizer)</t>
  </si>
  <si>
    <t>0413 2222795 / 2222449</t>
  </si>
  <si>
    <r>
      <rPr>
        <rFont val="Arial"/>
        <color rgb="FF1155CC"/>
        <sz val="11.0"/>
        <u/>
      </rPr>
      <t>manager@aurodhan.com</t>
    </r>
  </si>
  <si>
    <t>Open to all</t>
  </si>
  <si>
    <r>
      <rPr>
        <rFont val="Arial"/>
        <color rgb="FF1155CC"/>
        <sz val="11.0"/>
        <u/>
      </rPr>
      <t>www.aurodhan.com</t>
    </r>
  </si>
  <si>
    <t>musical_evening_misra.jpg</t>
  </si>
  <si>
    <r>
      <rPr>
        <rFont val="Arial"/>
        <color rgb="FF1155CC"/>
        <sz val="11.0"/>
        <u/>
      </rPr>
      <t>Drive Link</t>
    </r>
  </si>
  <si>
    <t>tarun (session profile)</t>
  </si>
  <si>
    <t>current time</t>
  </si>
  <si>
    <t>Sharadotsav 2025 – Mahalaya / Lalita the Universal Mother</t>
  </si>
  <si>
    <t>Dance Festival (Bharatanatyam)</t>
  </si>
  <si>
    <t>Kalarigram, Auroville</t>
  </si>
  <si>
    <t>✨ Festival continues. Performances: Mahalaya – Bidisha Banerjee (Bharatanatyam) and Lalita the Universal Mother – Pavitra Bhatt (Bharatanatyam).</t>
  </si>
  <si>
    <t>sharadotsav_2025_day3.jpg</t>
  </si>
  <si>
    <t>https://drive.google.com/file/d/1ds-3mnPYdD9NWVyujZ-SJpDjjeTrkGRM/view?usp=drivesdk</t>
  </si>
  <si>
    <t>tarun</t>
  </si>
  <si>
    <t>Sharadotsav 2025 – Carnatic Katcheri</t>
  </si>
  <si>
    <t>Music Festival (Mridangam / Violin)</t>
  </si>
  <si>
    <t>✨ Festival finale. Performance: Carnatic Katcheri – Anghiras (Mridangam) &amp; Amogh Nadadur (Violin).</t>
  </si>
  <si>
    <t>sharadotsav_2025_day10.jpg</t>
  </si>
  <si>
    <t>https://drive.google.com/file/d/1hAR5x9g7Bi4AbusKOhUcsiItGF6bmw2w/view?usp=drivesdk</t>
  </si>
  <si>
    <t>1 Needle rEVOLUTION – Embroidery Kaladaan Satsang</t>
  </si>
  <si>
    <t>Art &amp; Craft / Workshop</t>
  </si>
  <si>
    <t>23 September 2025 (and recurring Tuesdays)</t>
  </si>
  <si>
    <t>Tuesday</t>
  </si>
  <si>
    <t>4:30 – 6:00 PM</t>
  </si>
  <si>
    <t>TASMAI, a Centre for Art &amp; Culture, 17 Advocate Chinna Tambi Street, Kuruchikuppam, Pondicherry</t>
  </si>
  <si>
    <t>Inviting those who would like to learn and hand embroider, macrame &amp; crochet and create beautiful textile pieces of any size. We will guide anyone who wants to learn how to use the needle &amp; thread to create textiles which we will support by teaching you how to do it, and once you have learnt we can buy in future the crafted pieces from anyone doing it anywhere in the world thus spread art-preneurship. This is a movement to empower men &amp; women through upskilling, infusing consciousness in their daily routine.</t>
  </si>
  <si>
    <r>
      <rPr>
        <rFont val="Arial"/>
        <color rgb="FF1155CC"/>
        <sz val="11.0"/>
        <u/>
      </rPr>
      <t>tasmaipondy@gmail.com</t>
    </r>
  </si>
  <si>
    <r>
      <rPr>
        <rFont val="Arial"/>
        <color rgb="FF1155CC"/>
        <sz val="11.0"/>
        <u/>
      </rPr>
      <t>www.tasmaipondy.com</t>
    </r>
  </si>
  <si>
    <t>embroidery_kaladaan.jpg</t>
  </si>
  <si>
    <r>
      <rPr>
        <rFont val="Arial"/>
        <color rgb="FF1155CC"/>
        <sz val="11.0"/>
        <u/>
      </rPr>
      <t>Drive Link</t>
    </r>
  </si>
  <si>
    <t>Somatic Self-Regulation Workshop</t>
  </si>
  <si>
    <t>Wellness / Body-Mind Workshop</t>
  </si>
  <si>
    <t>9:30 AM – 12:30 PM &amp; 2:00 – 5:00 PM (Full Day)</t>
  </si>
  <si>
    <t>Pitanga Cultural Centre, Samasti, Auroville</t>
  </si>
  <si>
    <t>Somatic Self-Regulation Workshop by Dr. Aditya Varma — “Reconnect Within – Mind, Body &amp; Spirit. Restore Your Flow.” The body keeps the score, but it also holds the wisdom to heal. Participants are guided to regulate themselves through movement and awareness practices. Please register beforehand.</t>
  </si>
  <si>
    <t>Dr. Aditya Varma</t>
  </si>
  <si>
    <t>0413-2622403, 9443902403</t>
  </si>
  <si>
    <r>
      <rPr>
        <rFont val="Arial"/>
        <color rgb="FF1155CC"/>
        <sz val="11.0"/>
        <u/>
      </rPr>
      <t>info@pitanga.in</t>
    </r>
  </si>
  <si>
    <t>Open to all interested in somatic healing, body-mind practices</t>
  </si>
  <si>
    <t>pitanga.auroville.org</t>
  </si>
  <si>
    <t>somatic_self_regulation.jpg</t>
  </si>
  <si>
    <r>
      <rPr>
        <rFont val="Arial"/>
        <color rgb="FF1155CC"/>
        <sz val="11.0"/>
        <u/>
      </rPr>
      <t>Drive Link</t>
    </r>
  </si>
  <si>
    <t>Sharadotsav 2025 – Pancha Bhoota Kriti / Natyarpana / Shakti</t>
  </si>
  <si>
    <t>Dance Festival (Bharatanatyam / Kuchipudi)</t>
  </si>
  <si>
    <t>✨ Festival continues. Performances: Pancha Bhoota Kriti – Maria Galenina (Bharatanatyam), Natyarpana – Kalanrityaniketan (Kuchipudi), and Shakti – Kamali MS (Bharatanatyam).</t>
  </si>
  <si>
    <t>sharadotsav_2025_day2.jpg</t>
  </si>
  <si>
    <t>Sharadotsav 2025 – Samarpana / Therukoothu Thirukkural</t>
  </si>
  <si>
    <t>Dance Festival (Bharatanatyam / Folk)</t>
  </si>
  <si>
    <t>✨ Festival continues. Performances: Samarpana – Manju V Nair (Bharatanatyam) and Therukoothu Thirukkural – Karthick Venkatesan (Folk).</t>
  </si>
  <si>
    <t>sharadotsav_2025_day9.jpg</t>
  </si>
  <si>
    <t>Aerial Silk for Fitness &amp; Well-being</t>
  </si>
  <si>
    <t>Fitness / Movement / Aerial Arts</t>
  </si>
  <si>
    <t>11:00 AM – 12:30 PM</t>
  </si>
  <si>
    <t>New Creation Dance Studio</t>
  </si>
  <si>
    <t>Strengthen, stretch, soften, soar. Workshop with aerial silks to build strength, flexibility, mobility &amp; playful movement. Includes core &amp; upper body conditioning, flow, grounding &amp; relaxation.</t>
  </si>
  <si>
    <t>—</t>
  </si>
  <si>
    <t>(+91) 8800929496, 8076833991</t>
  </si>
  <si>
    <t>₹600 (Guests), ₹350 (Aurovillians/Volunteers)</t>
  </si>
  <si>
    <t>Open to all; wear fitted clothes, bring water</t>
  </si>
  <si>
    <t>aerial_silk.jpg</t>
  </si>
  <si>
    <r>
      <rPr>
        <rFont val="Calibri"/>
        <color rgb="FF1155CC"/>
        <sz val="11.0"/>
        <u/>
      </rPr>
      <t>https://drive.google.com/file/d/1-vNrAO3GgcVJtjlXvP5Of7VqUysSAUqI/view?usp=drivesdk</t>
    </r>
  </si>
  <si>
    <t>Sharadotsav 2025 – Trishakti Rupini / Shakti Navarupa</t>
  </si>
  <si>
    <t>Dance Festival (Bharatanatyam / Kathak)</t>
  </si>
  <si>
    <t>Thursday</t>
  </si>
  <si>
    <t>✨ Festival continues. Performances: Trishakti Rupini – Vidyalakshmi MS (Bharatanatyam) and Shakti Navarupa – Shubhatrayee Satwe (Kathak).</t>
  </si>
  <si>
    <t>sharadotsav_2025_day4.jpg</t>
  </si>
  <si>
    <t>Palm Leaf Workshop with Azarudeen</t>
  </si>
  <si>
    <t>Sunday</t>
  </si>
  <si>
    <t>10:00 AM – 1:00 PM &amp; 3:00 – 6:00 PM</t>
  </si>
  <si>
    <t>TASMAI, a Centre for Art &amp; Culture, 17 Advocate Chinna Tambi St., Between 2nd &amp; 3rd Cross, Kuruchikuppam, Pondy</t>
  </si>
  <si>
    <t>Folding method: toys, key chains, hangers with palm leaf folding. Writing skills: training in writing on palm leaf. Weaving: making baskets, boxes, usable products. Palm art: cutting skills to create palm portraits &amp; artistic compositions. Facilitator Azarudeen shares his journey with SAAROLAI KUZHU team (since 2019) reviving palm leaf weaving and modernizing designs.</t>
  </si>
  <si>
    <t>Azarudeen</t>
  </si>
  <si>
    <r>
      <rPr>
        <rFont val="Arial"/>
        <color rgb="FF1155CC"/>
        <sz val="11.0"/>
        <u/>
      </rPr>
      <t>tasmaipondy@gmail.com</t>
    </r>
  </si>
  <si>
    <t>₹1000 (incl. lunch), ₹600 per session</t>
  </si>
  <si>
    <r>
      <rPr>
        <rFont val="Arial"/>
        <color rgb="FF1155CC"/>
        <sz val="11.0"/>
        <u/>
      </rPr>
      <t>www.tasmaipondy.com</t>
    </r>
  </si>
  <si>
    <t>palm_leaf_workshop.jpg</t>
  </si>
  <si>
    <r>
      <rPr>
        <rFont val="Arial"/>
        <color rgb="FF1155CC"/>
        <sz val="11.0"/>
        <u/>
      </rPr>
      <t>Drive Link</t>
    </r>
  </si>
  <si>
    <t>Sharadotsav 2025 – From Her Heart / Devi Stuti</t>
  </si>
  <si>
    <t>Dance Festival (Bharatanatyam / Odissi)</t>
  </si>
  <si>
    <t>✨ Festival continues. Performances: From Her Heart, Through Her Forms, To Her Feet – Neetara Nair (Bharatanatyam) and Devi Stuti – Anaya Pati (Odissi).</t>
  </si>
  <si>
    <t>sharadotsav_2025_day7.jpg</t>
  </si>
  <si>
    <t>Dance Performance Evening</t>
  </si>
  <si>
    <t>Theatre / Dance Performance</t>
  </si>
  <si>
    <t>Cripa Hall, Auroville</t>
  </si>
  <si>
    <t>An evening of works-in-progress: come support artists and witness creation in motion. 1. Hans: A contemporary dance and theatre duet exploring love in a world of borders and unequal freedoms. Choreographed and performed by Amber and Gopal. 2. The Shift Within: An improvised group piece tracing the journey from old patterns and conditioned life towards self-discovery. Performed by Debashish, Devansh, Kshitiz, Kartik, Tara. Choreographed by Gopal.</t>
  </si>
  <si>
    <t>Dance_Performance_Evening.jpg</t>
  </si>
  <si>
    <r>
      <rPr>
        <rFont val="Calibri"/>
        <color rgb="FF1155CC"/>
        <sz val="11.0"/>
        <u/>
      </rPr>
      <t>https://drive.google.com/file/d/1IMp9x0_GBW_3lNyLeihj0PBZjM4hx2_L/view?usp=drivesdk</t>
    </r>
  </si>
  <si>
    <t>Dance Performance Evening – Hans &amp; The Shift Within</t>
  </si>
  <si>
    <t>Performing Arts / Dance</t>
  </si>
  <si>
    <t>An evening of contemporary dance &amp; improvised theatre. Hans: duet exploring love across borders (Amber &amp; Gopal). The Shift Within: group improvisation on patterns and self-discovery (Debashish, Devansh, Kshitiz, Kartik, Tara; choreo. by Gopal).</t>
  </si>
  <si>
    <t>performance_evening.jpg</t>
  </si>
  <si>
    <r>
      <rPr>
        <rFont val="Calibri"/>
        <color rgb="FF1155CC"/>
        <sz val="11.0"/>
        <u/>
      </rPr>
      <t>https://drive.google.com/file/d/1IMp9x0_GBW_3lNyLeihj0PBZjM4hx2_L/view?usp=drivesdk</t>
    </r>
  </si>
  <si>
    <t>Truth Based Relationships Practical Sessions</t>
  </si>
  <si>
    <t>Wellness</t>
  </si>
  <si>
    <t>Saturday</t>
  </si>
  <si>
    <t>2.30pm – 4.30pm</t>
  </si>
  <si>
    <t>Pitanga Cultural Centre, Samasti, Auroville 605 101</t>
  </si>
  <si>
    <t>Truth Based Relationships Practical Sessions … First timers need to have previously explored the content at asrmodel.com</t>
  </si>
  <si>
    <t>0413 - 2622403, 9443902403</t>
  </si>
  <si>
    <r>
      <rPr>
        <rFont val="Arial"/>
        <color rgb="FF1155CC"/>
        <sz val="11.0"/>
        <u/>
      </rPr>
      <t>info@pitanga.in</t>
    </r>
  </si>
  <si>
    <t>First timers need to have previously explored the content at asrmodel.com</t>
  </si>
  <si>
    <r>
      <rPr>
        <rFont val="Arial"/>
        <color rgb="FF1155CC"/>
        <sz val="11.0"/>
        <u/>
      </rPr>
      <t>https://asrmodel.com</t>
    </r>
  </si>
  <si>
    <t>event_poster.jpg</t>
  </si>
  <si>
    <r>
      <rPr>
        <rFont val="Arial"/>
        <color rgb="FF1155CC"/>
        <sz val="11.0"/>
        <u/>
      </rPr>
      <t>Drive Link</t>
    </r>
  </si>
  <si>
    <t>Yogic Science of Breath: Pranayama &amp; Mudras</t>
  </si>
  <si>
    <t>Yoga</t>
  </si>
  <si>
    <t>8 am - 9.30 am</t>
  </si>
  <si>
    <t>Auroville Main Road, Kuilapalayam</t>
  </si>
  <si>
    <t>YOGIC SCIENCE OF BREATH: PRANAYAMA &amp; MUDRAS with Mamta …</t>
  </si>
  <si>
    <t>Mamta</t>
  </si>
  <si>
    <r>
      <rPr>
        <rFont val="Arial"/>
        <color rgb="FF1155CC"/>
        <sz val="11.0"/>
        <u/>
      </rPr>
      <t>itmatters@auroville.org.in</t>
    </r>
  </si>
  <si>
    <t>Contribution-based</t>
  </si>
  <si>
    <t>Open to all individuals (beginners to advanced). Do not eat or drink …</t>
  </si>
  <si>
    <t>itmatters.auroville.org</t>
  </si>
  <si>
    <t>yogic_science_breath.jpg</t>
  </si>
  <si>
    <r>
      <rPr>
        <rFont val="Arial"/>
        <color rgb="FF1155CC"/>
        <sz val="11.0"/>
        <u/>
      </rPr>
      <t>Drive Link</t>
    </r>
  </si>
  <si>
    <t>Mindfulness Kindfulness – Half Day Retreat</t>
  </si>
  <si>
    <t>Wellness / Mindfulness</t>
  </si>
  <si>
    <t>9:15 AM – 12:30 PM</t>
  </si>
  <si>
    <t>Hall of Light, Creativity Community, Auroville</t>
  </si>
  <si>
    <t>Half day Mindfulness Kindfulness retreat, Saturday 27th Sep, 9.15am-12.30pm 💜✨🤗✨💜 If your heart is calling for quiet time to unplug &amp; recharge you are most welcome to join this nurturing space of gentle care &amp; stillness 🤗🪷 This mini retreat weaves together mindfulness &amp; kindness practices, creating a tender pathway to self-compassion &amp; heart connection. It offers an ease of being, an inner softening, &amp; invites a deeper, more present way of living. ✨ Everyone is warmly welcomed - whether you're beginning your meditation exploration or have been practicing for years. During the retreat you can choose whatever position your body needs - on a chair, cushion, or mat 🤗 Participants will hold silence during the session, providing a chance to go deep within.</t>
  </si>
  <si>
    <t>Helen</t>
  </si>
  <si>
    <t>Suggested contribution ₹500 (flexible, contribute as you feel)</t>
  </si>
  <si>
    <t>Open to all – beginners and experienced meditators</t>
  </si>
  <si>
    <t>innersightav.org</t>
  </si>
  <si>
    <t>mindfulness_kindfulness.jpg</t>
  </si>
  <si>
    <r>
      <rPr>
        <rFont val="Arial"/>
        <color rgb="FF1155CC"/>
        <sz val="11.0"/>
        <u/>
      </rPr>
      <t>Drive Link</t>
    </r>
  </si>
  <si>
    <t>Pebble Garden – Story of the Land</t>
  </si>
  <si>
    <t>Environment / Talk &amp; Walk</t>
  </si>
  <si>
    <t>10:00 AM – 12:30 PM</t>
  </si>
  <si>
    <t>Pebble Garden, Auroville</t>
  </si>
  <si>
    <t>Pebble Garden – Story of the Land 🍃 What were past landscapes like in our bioregion? 🍂 How did a land of abundance turn into an eroded desert? 🪾 The wider challenge of land degradation in India 🌿 Is it possible to rebuild soil and restore biodiversity? Let’s find out! Join us for an informative Talk &amp; Walk at Pebble Garden – discover 30+ years of land regeneration, from bare pebble land to thriving biodiversity.</t>
  </si>
  <si>
    <t xml:space="preserve"> 81487 15966 (WhatsApp)</t>
  </si>
  <si>
    <t>Free Entry</t>
  </si>
  <si>
    <t>Open to all, limited spots (register required)</t>
  </si>
  <si>
    <r>
      <rPr>
        <rFont val="Arial"/>
        <color rgb="FF1155CC"/>
        <sz val="11.0"/>
        <u/>
      </rPr>
      <t>Google Maps</t>
    </r>
    <r>
      <rPr>
        <rFont val="Arial"/>
        <color rgb="FF1155CC"/>
        <sz val="11.0"/>
        <u/>
      </rPr>
      <t xml:space="preserve">, </t>
    </r>
    <r>
      <rPr>
        <rFont val="Arial"/>
        <color rgb="FF1155CC"/>
        <sz val="11.0"/>
        <u/>
      </rPr>
      <t>Registration Form</t>
    </r>
  </si>
  <si>
    <t>pebble_garden_story.jpg</t>
  </si>
  <si>
    <r>
      <rPr>
        <rFont val="Arial"/>
        <color rgb="FF1155CC"/>
        <sz val="11.0"/>
        <u/>
      </rPr>
      <t>Drive Link</t>
    </r>
  </si>
  <si>
    <t>Nejang Tibetan Yoga Workshop</t>
  </si>
  <si>
    <t>Wellness / Yoga</t>
  </si>
  <si>
    <t>Nejang Tibetan Yoga Workshop by Dr. Aditya Varma – Nejang Tibetan Yoga: Internal Cleansing • Subtle Balance • Gentle Healing. Nejang (Tibetan: གནས་བྱང་) is a therapeutic form of Tibetan Yoga rooted in the medical science of Sowa Rigpa and the Kalachakra tradition. Unlike performance-based yoga styles, Nejang is a medicinal yoga – a self-care practice traditionally prescribed by Tibetan physicians to harmonize body, breath, and mind. Prior registration requested.</t>
  </si>
  <si>
    <r>
      <rPr>
        <rFont val="Arial"/>
        <color rgb="FF1155CC"/>
        <sz val="11.0"/>
        <u/>
      </rPr>
      <t>info@pitanga.in</t>
    </r>
  </si>
  <si>
    <t>Open to all interested in Tibetan yoga, healing, and mindfulness</t>
  </si>
  <si>
    <t>nejang_tibetan_yoga.jpg</t>
  </si>
  <si>
    <r>
      <rPr>
        <rFont val="Arial"/>
        <color rgb="FF1155CC"/>
        <sz val="11.0"/>
        <u/>
      </rPr>
      <t>Drive Link</t>
    </r>
  </si>
  <si>
    <t>Sharadotsav 2025 – Arpanam / Shakti</t>
  </si>
  <si>
    <t>Dance Festival (Kuchipudi / Kathak)</t>
  </si>
  <si>
    <t>✨ Festival continues. Performances: Arpanam – Lekshmi Reghunath (Kuchipudi) and Shakti – Maitreyee Nirguni (Kathak).</t>
  </si>
  <si>
    <t>sharadotsav_2025_day6.jpg</t>
  </si>
  <si>
    <t>Handstands Group Class</t>
  </si>
  <si>
    <t>Fitness / Movement / Martial Arts Inspired</t>
  </si>
  <si>
    <t>Recurring (Every Saturday)</t>
  </si>
  <si>
    <t>New Creation Gym, Auroville</t>
  </si>
  <si>
    <t>🤸🏻‍♀️ Handstands Group Class 🤸🏻‍♀️ — Going upside down opens a new world of body awareness and learning possibilities. The handstand practice has the potential to welcome more confidence in life, improve body ability and function, and build smart strength and mobility. Rooted in circus hand-balancing discipline, the class combines performance, technical precision, playfulness, and exploration. Benefits extend beyond the handstand itself: building strong foundations, trust in the body, and developing both physical and mental aspects. The class integrates internal martial arts, body awareness, dance, conditioning, and movement.</t>
  </si>
  <si>
    <t>Tal</t>
  </si>
  <si>
    <t>(+972)50-420-7526</t>
  </si>
  <si>
    <t>₹150 per class</t>
  </si>
  <si>
    <t>Requirement: must hold 5-sec handstand with wall support</t>
  </si>
  <si>
    <t>handstand_group_class.jpg</t>
  </si>
  <si>
    <t>Jam Night with Gory – Youth Centre Sound System</t>
  </si>
  <si>
    <t>Music / Community</t>
  </si>
  <si>
    <t>7:30 PM onwards</t>
  </si>
  <si>
    <t>Youth Centre, Auroville</t>
  </si>
  <si>
    <t>A lively jam session with Gory, hosted by Youth Centre Sound System. Gather for music, community, and good vibes under the lights.</t>
  </si>
  <si>
    <t>jam_night_gory.jpg</t>
  </si>
  <si>
    <t>https://drive.google.com/file/d/1C5udri70a1YGi4FmncNWgi6gJpRGChEI/view?usp=drivesdk</t>
  </si>
  <si>
    <t>Mindfulness Based Stress Reduction (MBSR) Course</t>
  </si>
  <si>
    <t>Starting 6 October (8 weeks)</t>
  </si>
  <si>
    <t>Mondays</t>
  </si>
  <si>
    <t>5:00 – 7:00 PM</t>
  </si>
  <si>
    <t>Auroville (Radiance)</t>
  </si>
  <si>
    <t>Mindfulness Based Stress Reduction (MBSR) course …</t>
  </si>
  <si>
    <t>Beginners &amp; experienced practitioners …</t>
  </si>
  <si>
    <r>
      <rPr>
        <rFont val="Arial"/>
        <color rgb="FF1155CC"/>
        <sz val="11.0"/>
        <u/>
      </rPr>
      <t>https://www.innersightav.org/8weekmbsr</t>
    </r>
  </si>
  <si>
    <t>Free Evening Programs at Auroville Language Lab</t>
  </si>
  <si>
    <t>Languages / Community</t>
  </si>
  <si>
    <t>Recurring (Weekly)</t>
  </si>
  <si>
    <t>Monday, Wednesday, Thursday</t>
  </si>
  <si>
    <t>Mon: 5:00–6:00 PM, Wed: 5:30–6:30 PM, Thu: 5:30–6:30 PM</t>
  </si>
  <si>
    <t>Auroville Language Lab</t>
  </si>
  <si>
    <t>Free evening conversation programs 🌍 Practice with native speakers. French (Mon, with Isabelle/Coco/Gaspard), Sanskrit Chanting (Wed, with Remesh), English (Thu, with Alex). A chance to share &amp; connect, not formal classes.</t>
  </si>
  <si>
    <t>Isabelle / Coco / Gaspard / Remesh / Alex</t>
  </si>
  <si>
    <t>(+91)</t>
  </si>
  <si>
    <r>
      <rPr>
        <rFont val="Calibri"/>
        <color rgb="FF1155CC"/>
        <sz val="11.0"/>
        <u/>
      </rPr>
      <t>info@aurovillelanguagelab.org</t>
    </r>
  </si>
  <si>
    <t>Free</t>
  </si>
  <si>
    <t>–</t>
  </si>
  <si>
    <t>LanguageLab_Evenings.jpg</t>
  </si>
  <si>
    <r>
      <rPr>
        <rFont val="Calibri"/>
        <color rgb="FF1155CC"/>
        <sz val="11.0"/>
        <u/>
      </rPr>
      <t>https://drive.google.com/file/d/1Armm-yuR-j6tIdv2YVjG-cOh6TThWR7z/view?usp=drivesdk</t>
    </r>
  </si>
  <si>
    <t>Kalaripayatt at New Creation</t>
  </si>
  <si>
    <t>Martial Arts / Fitness</t>
  </si>
  <si>
    <t>Recurring</t>
  </si>
  <si>
    <t>Monday &amp; Thursday</t>
  </si>
  <si>
    <t>New Creation Sports Arena, Auroville</t>
  </si>
  <si>
    <t>Beginner friendly Kalaripayatt classes …</t>
  </si>
  <si>
    <t>Rs.250 (AV), Rs.300 (Guests), discounts for kids/regulars</t>
  </si>
  <si>
    <t>Beginners &amp; practitioners</t>
  </si>
  <si>
    <t>Yoga (Hatha Flow)</t>
  </si>
  <si>
    <t>5:30 PM – 6:30 PM</t>
  </si>
  <si>
    <t>Joy Hall, Serendipity, Auroville</t>
  </si>
  <si>
    <t>Balance, strength and flexibility with Hatha Flow …</t>
  </si>
  <si>
    <t>Ramesh</t>
  </si>
  <si>
    <r>
      <rPr>
        <rFont val="Arial"/>
        <color rgb="FF1155CC"/>
        <sz val="11.0"/>
        <u/>
      </rPr>
      <t>serendipityaureville@gmail.com</t>
    </r>
  </si>
  <si>
    <t>By Contribution (Drop-in)</t>
  </si>
  <si>
    <t>Beginner to Intermediate</t>
  </si>
  <si>
    <t>Recurring (Every Monday &amp; Thursday)</t>
  </si>
  <si>
    <t>Ground floor, Building opposite to the Basketball Court, New Creation Sports Arena, Auroville</t>
  </si>
  <si>
    <t>We offer beginner friendly Kalaripayatt classes for beginners as well as existing practitioners at New Creation, every Monday and Thursday at 5:30 PM. Urban Kalari is a broken down and more detailed version of Kalaripayatt that focuses on form in stance as well as movement. Drop the hurry and learn Kalaripayatt at the pace of your body. Use it as a standalone practice or a complementary practice. All the benefits of the ancient wisdom with an approach that works best for your body and mind. Come explore Kalaripayatt with us!</t>
  </si>
  <si>
    <t>(+91) 9482069553</t>
  </si>
  <si>
    <t>Rs.250 (AV &amp; Bio Region Residents), Rs.300 (Guests &amp; Visitors); discounts for kids &amp; regulars</t>
  </si>
  <si>
    <t>Yoga – Haṭha Flow</t>
  </si>
  <si>
    <t>5:30 – 6:30 PM</t>
  </si>
  <si>
    <t>Balance, strength and flexibility with Haṭha Flow. Connect your breath with graceful movements and long holds for a journey to inner peace. Ideal for levels between beginner to intermediate.</t>
  </si>
  <si>
    <r>
      <rPr>
        <rFont val="Calibri"/>
        <color rgb="FF1155CC"/>
        <sz val="11.0"/>
        <u/>
      </rPr>
      <t>serendipityauroville@gmail.com</t>
    </r>
  </si>
  <si>
    <t>By Contribution</t>
  </si>
  <si>
    <t>Yoga_Hatha_Flow.jpg</t>
  </si>
  <si>
    <r>
      <rPr>
        <rFont val="Calibri"/>
        <color rgb="FF1155CC"/>
        <sz val="11.0"/>
        <u/>
      </rPr>
      <t>https://drive.google.com/file/d/1xTgP6XRMna4F_oiFqymIz0mdMFL8n8Uw/view?usp=drivesdk</t>
    </r>
  </si>
  <si>
    <t>Volunteer Exchange Program – 6 Days Stay 🌱✨</t>
  </si>
  <si>
    <t>Community / Volunteering</t>
  </si>
  <si>
    <t>22nd – 28th September 2025</t>
  </si>
  <si>
    <t>Monday – Sunday</t>
  </si>
  <si>
    <t>Full day (6 days stay)</t>
  </si>
  <si>
    <t>Flycatchers Hostel, 300m from Solar Kitchen, Auroville</t>
  </si>
  <si>
    <t>We’re looking for enthusiastic volunteers to join us for a 6-day exchange program! In return for your time and energy, we provide comfortable accommodation and healthy meals throughout your stay. Work Involved: Creating beautiful natural habitat that co-exist landscapes 🌿 Building a mud pool 🏞️ It’s a wonderful opportunity to immerse yourself in nature, learn hands-on skills, and contribute to a meaningful project while enjoying a simple and nourishing lifestyle. ✨ To celebrate everyone’s efforts, we’ll come together for a small gathering at the end of the program. In the end, we would simply love to have someone who is curious about learning, life, and all that it brings.</t>
  </si>
  <si>
    <t>Included: stay + meals</t>
  </si>
  <si>
    <t>Open to volunteers interested in nature, community, and hands-on work</t>
  </si>
  <si>
    <r>
      <rPr>
        <rFont val="Arial"/>
        <color rgb="FF1155CC"/>
        <sz val="11.0"/>
        <u/>
      </rPr>
      <t>Google Maps</t>
    </r>
  </si>
  <si>
    <t>volunteer_exchange.jpg</t>
  </si>
  <si>
    <t>Wellpaper Upcycling Workshop</t>
  </si>
  <si>
    <t>Workshop / Sustainability</t>
  </si>
  <si>
    <t>Recurring (Monday – Saturday)</t>
  </si>
  <si>
    <t>Monday – Saturday</t>
  </si>
  <si>
    <t>11:00 AM – 3:00 PM (1.5 hr sessions)</t>
  </si>
  <si>
    <t>Wellpaper, Auroville</t>
  </si>
  <si>
    <t>🌟 Empowerment meets creativity! Join Wellpaper’s Upcycling Workshop run by women turning waste into art. 🎨 Make &amp; take your own eco-craft – from paper to product in 1.5 hrs! No experience needed.</t>
  </si>
  <si>
    <t>Wellpaper Team</t>
  </si>
  <si>
    <r>
      <rPr>
        <rFont val="Calibri"/>
        <color rgb="FF1155CC"/>
        <sz val="11.0"/>
        <u/>
      </rPr>
      <t>wellpaper@auroville.org.in</t>
    </r>
  </si>
  <si>
    <t>₹750 (1–3 participants), ₹650 (4+)</t>
  </si>
  <si>
    <t>Open to all; group discounts available</t>
  </si>
  <si>
    <t>Instagram: @wellpaperauroville</t>
  </si>
  <si>
    <t>Wellpaper_Upcycling.jpg</t>
  </si>
  <si>
    <r>
      <rPr>
        <rFont val="Calibri"/>
        <color rgb="FF1155CC"/>
        <sz val="11.0"/>
        <u/>
      </rPr>
      <t>https://drive.google.com/file/d/13DSs8Dya42HHzP6PeOtptJ6hlr70g1sw/view?usp=drivesdk</t>
    </r>
  </si>
  <si>
    <t>WOGA® (Yoga in Water) Class</t>
  </si>
  <si>
    <t>Wellness / Water Yoga</t>
  </si>
  <si>
    <t>Monday</t>
  </si>
  <si>
    <t>4:30 PM – 6:00 PM</t>
  </si>
  <si>
    <t>Quiet Healing Center, Auroville</t>
  </si>
  <si>
    <t>WOGA® (Yoga in Water) Class with Ellie &amp; Sheida …</t>
  </si>
  <si>
    <t>Ellie &amp; Sheida</t>
  </si>
  <si>
    <r>
      <rPr>
        <rFont val="Arial"/>
        <color rgb="FF1155CC"/>
        <sz val="11.0"/>
        <u/>
      </rPr>
      <t>quiet@auroville.org.in</t>
    </r>
  </si>
  <si>
    <t>No previous experience required</t>
  </si>
  <si>
    <t>No prerequisites required</t>
  </si>
  <si>
    <t>www.quiethealingcenter.info</t>
  </si>
  <si>
    <t>IMG-20250919-WA0020.jpg</t>
  </si>
  <si>
    <t>Sharadotsav 2025 – Naivedya / The Joy of Movement</t>
  </si>
  <si>
    <t>Dance Festival (Bharatanatyam / Chhau)</t>
  </si>
  <si>
    <t>✨ Sharadotsav 2025 at Kalarigram ✨ Ten nights of Immersion celebrating Devi. Lalitha Maha Yagam daily at 5:30 PM, Kali Arati at 7 PM. Performances tonight: Naivedya – Sowmya Jaganmurthy (Bharatanatyam) and The Joy of Movement – Carolina Prada (Mayurbhanj Chhau).</t>
  </si>
  <si>
    <t>sharadotsav_2025_day1.jpg</t>
  </si>
  <si>
    <t>Sharadotsav 2025 – Sharade / Shakti the Sacred Feminine</t>
  </si>
  <si>
    <t>✨ Festival continues. Performances: Sharade – Shreyas Nair (Bharatanatyam) and Shakti the Sacred Feminine – Maneesha Abhay (Kathak).</t>
  </si>
  <si>
    <t>sharadotsav_2025_day8.jpg</t>
  </si>
  <si>
    <t>Creative Voice Sound Healing</t>
  </si>
  <si>
    <t>Wellness / Sound Healing</t>
  </si>
  <si>
    <t>Recurring (Every Monday)</t>
  </si>
  <si>
    <t>5:00 – 6:30 PM</t>
  </si>
  <si>
    <t>Experience vocal techniques, breathing, toning, singing, dancing, etc. To promote relaxation, self discovery, emotional release, free expression and happiness. We discover our heart voice through singing. Exploring our different voices and small instruments.</t>
  </si>
  <si>
    <t>Lola</t>
  </si>
  <si>
    <t>(+91) 9443069335</t>
  </si>
  <si>
    <t>Aurovilians and newcomers free; ₹300 for guests</t>
  </si>
  <si>
    <t>No experience needed, no registration required</t>
  </si>
  <si>
    <t>Creative_Voice_Sound_Healing.jpg</t>
  </si>
  <si>
    <r>
      <rPr>
        <rFont val="Calibri"/>
        <color rgb="FF1155CC"/>
        <sz val="11.0"/>
        <u/>
      </rPr>
      <t>https://drive.google.com/file/d/1eVohUuRX1m6KJ6B8U4Vg10_-bJVyyjqO/view?usp=drivesdk</t>
    </r>
  </si>
  <si>
    <t>Sharadotsav 2025 – Devi Mahima / Devyai Namah</t>
  </si>
  <si>
    <t>Dance Festival (Mohiniyattam / Bharatanatyam)</t>
  </si>
  <si>
    <t>Friday</t>
  </si>
  <si>
    <t>✨ Festival continues. Performances: Devi Mahima – Ameena Shanavas (Mohiniyattam) and Devyai Namah – Shreshta Devadiga (Bharatanatyam).</t>
  </si>
  <si>
    <t>sharadotsav_2025_day5.jpg</t>
  </si>
  <si>
    <t>The Flow – Chakra Meditation Immersive Sound Experience</t>
  </si>
  <si>
    <t>Wellness / Sound Healing / Meditation</t>
  </si>
  <si>
    <t>Recurring (Every Friday)</t>
  </si>
  <si>
    <t>Unity Pavilion, Auroville</t>
  </si>
  <si>
    <t>The Flow – Chakra Meditation, Immersive Sound Experience. Awaken your inner energy with sound, mantra, and frequency for deep tissue emotional cleansing, balance, and holistic healing. All are welcome. Presented by the Unity Pavilion Research Team: Sergei – Electronic Musician, Specialist in Social &amp; Musical Psychology; Preeti – Author, Life Coach, and Researcher with 25+ years in Integral Yoga &amp; Human Development.</t>
  </si>
  <si>
    <t>Sergei &amp; Preeti</t>
  </si>
  <si>
    <t>the_flow_chakra_meditation.jpg</t>
  </si>
  <si>
    <t>https://drive.google.com/file/d/1cC7RZBsfFMkdrGFmlkyDlpI81AwOJUM_/view?usp=drivesdk</t>
  </si>
  <si>
    <t>Free Flow – Dance &amp; Movement</t>
  </si>
  <si>
    <t>Dance / Movement</t>
  </si>
  <si>
    <t>5:00 – 6:30 PM every Friday</t>
  </si>
  <si>
    <t>Verite Round Hall</t>
  </si>
  <si>
    <t>The body can be a great guide of the soul, enabling us to connect and reveal ourselves through movement. Join us and give your body an opportunity to flow in its rhythm and express itself freely. 😊💃 Guest 400rs, Volunteers 200rs. AV and Newcomers free contribution. Please come 5 mins early for the registration. 😊🙏</t>
  </si>
  <si>
    <t>Guest ₹400 / Volunteers ₹200 / AV &amp; Newcomers free</t>
  </si>
  <si>
    <t>freeflow_poster.jpg</t>
  </si>
  <si>
    <r>
      <rPr>
        <rFont val="Calibri"/>
        <color rgb="FF1155CC"/>
        <sz val="11.0"/>
        <u/>
      </rPr>
      <t>https://drive.google.com/file/d/1kPQ0GLZcUd4wrv4iNSz-_uFbUsQUDGF4/view?usp=drivesdk</t>
    </r>
  </si>
  <si>
    <t>Sound Bath in the Forest</t>
  </si>
  <si>
    <t>Flexible / On request</t>
  </si>
  <si>
    <t>By appointment</t>
  </si>
  <si>
    <t>Little house in the heart of one of Auroville's oldest forests</t>
  </si>
  <si>
    <t>🏡 A unique sound bath in a little house in the forest …</t>
  </si>
  <si>
    <t>Certified Sound Facilitator</t>
  </si>
  <si>
    <t>(+ 39) 3208370141</t>
  </si>
  <si>
    <t>Adults</t>
  </si>
  <si>
    <t>Kolam Mandala – Make &amp; Take Workshop</t>
  </si>
  <si>
    <t>Traditional Art / Craft</t>
  </si>
  <si>
    <t>Daily (except Sunday)</t>
  </si>
  <si>
    <t>10:00 AM – 3:30 PM</t>
  </si>
  <si>
    <t>Mohanam Village Heritage Centre, Auroville</t>
  </si>
  <si>
    <t>Create your own Kolam mandala artwork in a hands-on workshop celebrating South Indian tradition. Fun &amp; mindful art-making experience, all ages welcome.</t>
  </si>
  <si>
    <t>(+91) 8300949079, 0413 2190757</t>
  </si>
  <si>
    <r>
      <rPr>
        <rFont val="Calibri"/>
        <color rgb="FF1155CC"/>
        <sz val="11.0"/>
        <u/>
      </rPr>
      <t>mohanamprogram@auroville.org.in</t>
    </r>
  </si>
  <si>
    <t>Open to all, advance booking necessary</t>
  </si>
  <si>
    <t>kolam_mandala.jpg</t>
  </si>
  <si>
    <r>
      <rPr>
        <rFont val="Calibri"/>
        <color rgb="FF1155CC"/>
        <sz val="11.0"/>
        <u/>
      </rPr>
      <t>https://drive.google.com/file/d/1GZYWiVVHVV_cMEIZwt5235kByH1p8Pzu/view?usp=drivesdk</t>
    </r>
  </si>
  <si>
    <t>Discover the World of Millets - Cooking Workshop &amp; Dinner</t>
  </si>
  <si>
    <t>Cooking / Workshop</t>
  </si>
  <si>
    <t>17 &amp; 18 September</t>
  </si>
  <si>
    <t>5:00 PM – 7:00 PM</t>
  </si>
  <si>
    <t>Svasottama Holistic Living, Auro Green Garden, Auroville Rd, Bharathi Nagar, Bommayapalayam</t>
  </si>
  <si>
    <t>Discover the World of Millets – Hands-On Cooking Workshop &amp; Dinner …</t>
  </si>
  <si>
    <t>Nikhil</t>
  </si>
  <si>
    <t>Free entry (dinner charges extra)</t>
  </si>
  <si>
    <t>Open to all (food &amp; cooking enthusiasts)</t>
  </si>
  <si>
    <t>Cooking Classes – Indian, French &amp; Créole</t>
  </si>
  <si>
    <t>Auroville (exact venue not specified)</t>
  </si>
  <si>
    <t>Cooking classes conducted: Indian, French, and Créole cuisines. Anyone interested contact 9488818684.</t>
  </si>
  <si>
    <t>Open to anyone interested in cooking</t>
  </si>
  <si>
    <r>
      <rPr>
        <rFont val="Arial"/>
        <color rgb="FF1155CC"/>
        <sz val="11.0"/>
        <u/>
      </rPr>
      <t>Link</t>
    </r>
  </si>
  <si>
    <t>cooking_classes.jpg</t>
  </si>
  <si>
    <t>Leela Therapy</t>
  </si>
  <si>
    <t>Wellness / Therapy</t>
  </si>
  <si>
    <t>Flexible (By appointment)</t>
  </si>
  <si>
    <t>Auroville (in-person) &amp; Online</t>
  </si>
  <si>
    <t>Leela Therapy is where spiritual teachings integrate as a beautiful part in the evolution of psychotherapy. It is offered in-person in Auroville and online. Rooted in teachings of self-inquiry, Leela therapy utilizes tools such as Ericksonian hypnosis, Neurolinguistics &amp; the Enneagram of Liberation. Sessions are heart-based, trauma-informed, and taught by Leela School of Awakening. These private 1:1 sessions are powerful &amp; intimate containers to work on deep emotional healing &amp; self-discovery. Please visit innersightav.org for further information and booking.</t>
  </si>
  <si>
    <t>Kardash</t>
  </si>
  <si>
    <t>(+91) 9940934875</t>
  </si>
  <si>
    <r>
      <rPr>
        <rFont val="Calibri"/>
        <color rgb="FF1155CC"/>
        <sz val="11.0"/>
        <u/>
      </rPr>
      <t>kardash@auroville.org.in</t>
    </r>
  </si>
  <si>
    <t>www.innersightav.org</t>
  </si>
  <si>
    <t>Leela_Therapy.jpg</t>
  </si>
  <si>
    <r>
      <rPr>
        <rFont val="Calibri"/>
        <color rgb="FF1155CC"/>
        <sz val="11.0"/>
        <u/>
      </rPr>
      <t>https://drive.google.com/file/d/1bJl5rtMXTeOkQatzuiOMDizxY-z5UGvO/view?usp=drivesdk</t>
    </r>
  </si>
  <si>
    <t>HorsetoHuman – Horse Assisted Therapy</t>
  </si>
  <si>
    <t>Therapy</t>
  </si>
  <si>
    <t>Morning and afternoon sessions</t>
  </si>
  <si>
    <t>Auroville</t>
  </si>
  <si>
    <t>HorsetoHuman offers 🐴Horse Assisted Therapy for everybody: children and adults, 1:1, family, groups, and schools 🐴 Learning about horses is a surprising learning about yourself 🙂Message us at 6384180772 to book your session 🌱🐴 Available in Auroville</t>
  </si>
  <si>
    <t>Lore / Mirabelle</t>
  </si>
  <si>
    <t>+91 (6384180772) / +91 (9626565134)</t>
  </si>
  <si>
    <r>
      <rPr>
        <rFont val="Calibri"/>
        <color rgb="FF1155CC"/>
        <sz val="11.0"/>
        <u/>
      </rPr>
      <t>contact@auroville-jiva.com</t>
    </r>
  </si>
  <si>
    <t>For people of all ages and skill levels</t>
  </si>
  <si>
    <t>www.auroville-jiva.com</t>
  </si>
  <si>
    <t>horsetohuman_poster.jpg</t>
  </si>
  <si>
    <r>
      <rPr>
        <rFont val="Calibri"/>
        <color rgb="FF1155CC"/>
        <sz val="11.0"/>
        <u/>
      </rPr>
      <t>https://drive.google.com/file/d/1uyli2WFssQh_RTRaQEJbb1nxmWfasiea/view?usp=drivesdk</t>
    </r>
  </si>
  <si>
    <t>HorsetoHuman – Natural Horsemanship</t>
  </si>
  <si>
    <t>Workshop</t>
  </si>
  <si>
    <t>HorsetoHuman offers 🐎Natural Horsemanship for everybody: children and adults, 1:1, family, groups, and schools 🙂Message us at 6384180772 to book your session 🌱🐴 Available in Auroville</t>
  </si>
  <si>
    <r>
      <rPr>
        <rFont val="Calibri"/>
        <color rgb="FF1155CC"/>
        <sz val="11.0"/>
        <u/>
      </rPr>
      <t>contact@auroville-jiva.com</t>
    </r>
  </si>
  <si>
    <r>
      <rPr>
        <rFont val="Calibri"/>
        <color rgb="FF1155CC"/>
        <sz val="11.0"/>
        <u/>
      </rPr>
      <t>https://drive.google.com/file/d/1uyli2WFssQh_RTRaQEJbb1nxmWfasiea/view?usp=drivesdk</t>
    </r>
  </si>
  <si>
    <t>HorsetoHuman – Horse &amp; Pony Meet &amp; Greet</t>
  </si>
  <si>
    <t>Activity</t>
  </si>
  <si>
    <t>HorsetoHuman offers 🦄Horse &amp; Pony Meet &amp; Greet for everybody: children and adults, 1:1, family, groups, and schools 🙂Message us at 6384180772 to book your session 🌱🐴 Available in Auroville</t>
  </si>
  <si>
    <r>
      <rPr>
        <rFont val="Calibri"/>
        <color rgb="FF1155CC"/>
        <sz val="11.0"/>
        <u/>
      </rPr>
      <t>contact@auroville-jiva.com</t>
    </r>
  </si>
  <si>
    <r>
      <rPr>
        <rFont val="Calibri"/>
        <color rgb="FF1155CC"/>
        <sz val="11.0"/>
        <u/>
      </rPr>
      <t>https://drive.google.com/file/d/1uyli2WFssQh_RTRaQEJbb1nxmWfasiea/view?usp=drivesdk</t>
    </r>
  </si>
  <si>
    <t>Drum Circle</t>
  </si>
  <si>
    <t>Music</t>
  </si>
  <si>
    <t>Every Saturday</t>
  </si>
  <si>
    <t>5:00 PM onwards (poster) / 6:00 PM (caption)</t>
  </si>
  <si>
    <t>Iyashi Artists' Abode, Near New Creation, Auroville Road</t>
  </si>
  <si>
    <t>Step into a space where the rhythm of the drums brings us together. Our Drum Circle is a place to let go, feel the music, and connect with others in a way that words can’t express. Whether you’re a seasoned drummer or just curious, we invite you to join us. No experience needed—just an open heart and a willingness to be part of something truly special.</t>
  </si>
  <si>
    <t>All are welcome; bring your instrument if possible. No experience needed.</t>
  </si>
  <si>
    <t>Drum_Circle.jpg</t>
  </si>
  <si>
    <r>
      <rPr>
        <rFont val="Calibri,Arial"/>
        <color rgb="FF1155CC"/>
        <sz val="11.0"/>
        <u/>
      </rPr>
      <t>https://drive.google.com/file/d/1_cE3S0TqX9iOuM4BIeC3eXXruzMIltrb/view?usp=drivesdk</t>
    </r>
  </si>
  <si>
    <t>Auroville Singing Festival – Unity in Diversity</t>
  </si>
  <si>
    <t>4th oct and 5 oct</t>
  </si>
  <si>
    <t>Saturday &amp; Sunday</t>
  </si>
  <si>
    <t>4th @ 7:30 PM / 5th @ 6:30 PM</t>
  </si>
  <si>
    <t>Cripa, Auroville</t>
  </si>
  <si>
    <t>Songs in over 20 languages! Two unique &amp; different shows – join us both evenings!</t>
  </si>
  <si>
    <t>Open to all music lovers</t>
  </si>
  <si>
    <t>Finding the Resonance Within – an Evening of Meditative Dhrupad</t>
  </si>
  <si>
    <t>4th October 2025</t>
  </si>
  <si>
    <t>SAWCHU, Bharat Nivas, Auroville</t>
  </si>
  <si>
    <t>Dhrupad is the oldest form of music in India, and an art form that focusses on a very internalised, expansive &amp; deeply meditative approach. Through the timeless unfolding of the raga, woven intricately into the silence, and resonance, experience the silence within.</t>
  </si>
  <si>
    <t>Krishna</t>
  </si>
  <si>
    <t>Finding_the_Resonance_Within.jpg</t>
  </si>
  <si>
    <r>
      <rPr>
        <rFont val="Calibri,Arial"/>
        <color rgb="FF1155CC"/>
        <sz val="11.0"/>
        <u/>
      </rPr>
      <t>https://drive.google.com/file/d/1NQhtR8eM7h03lTd3dZKgPYrdJHIafL2m/view?usp=drivesdk</t>
    </r>
  </si>
  <si>
    <t>Vegan Potluck</t>
  </si>
  <si>
    <t>Food / Community</t>
  </si>
  <si>
    <t>Every First Saturday of the Month</t>
  </si>
  <si>
    <t>Sadhana Forest, Auroville (Google Maps: “Tea Hut Sadhana Forest”)</t>
  </si>
  <si>
    <t>Bring your friends and a vegan dish to share!</t>
  </si>
  <si>
    <r>
      <rPr>
        <rFont val="Calibri,Arial"/>
        <color rgb="FF1155CC"/>
        <sz val="11.0"/>
        <u/>
      </rPr>
      <t>sadhanaforest@auroville.org.in</t>
    </r>
  </si>
  <si>
    <t>Open to all; bring a vegan dish to share</t>
  </si>
  <si>
    <t>Vegan_Potluck.jpg</t>
  </si>
  <si>
    <r>
      <rPr>
        <rFont val="Calibri,Arial"/>
        <color rgb="FF1155CC"/>
        <sz val="11.0"/>
        <u/>
      </rPr>
      <t>https://drive.google.com/file/d/1S0DoXQp3-nAPIayk-MKFCDPjL7R8N0pl/view?usp=drivesdk</t>
    </r>
  </si>
  <si>
    <t>Friday Flow – Djembe Circle</t>
  </si>
  <si>
    <t>3rd October 2025</t>
  </si>
  <si>
    <t>Uyir Together Café &amp; Travellers Hostel (next to Visitor Centre, Edayanchavadi)</t>
  </si>
  <si>
    <t>Feel the rhythm, move with the beat, and flow into the weekend with the magical sound of the Djembe! 🥁💫 🎶 Join the circle, connect with travelers and locals, and let the music carry us into a shared vibe of energy and joy. Hosted with love by The Last Stop Backpackers Hostel &amp; Hangouts Pondy 💛 Come as you are, leave as family.</t>
  </si>
  <si>
    <t>Open to all; travelers and locals welcome</t>
  </si>
  <si>
    <t>Individual Somatic Healing Sessions</t>
  </si>
  <si>
    <t>Wellness / Healing</t>
  </si>
  <si>
    <t>Flexible (slots available as per schedule)</t>
  </si>
  <si>
    <t>Time as per appointment</t>
  </si>
  <si>
    <t>Online / In-person (Auroville / Pondicherry)</t>
  </si>
  <si>
    <t>Somatic release is a meditative movement practice, helping the body to release tension and heal holistically. Learn to access freedom of movement, higher self-awareness and feel whole. Sessions are tailored to your individual emotional and physical needs, offering a safe space for trauma release, mental health support, or autoimmune concerns.</t>
  </si>
  <si>
    <t>Zalina</t>
  </si>
  <si>
    <t>Open to all; suitable for those seeking personal healing, trauma release, or holistic support</t>
  </si>
  <si>
    <t>Breath of Becoming – A Holotropic Breathing Journey</t>
  </si>
  <si>
    <t>5th October (Year not specified)</t>
  </si>
  <si>
    <t>9:30 AM – 5:00 PM</t>
  </si>
  <si>
    <t>CRIPA, Auroville</t>
  </si>
  <si>
    <t>Trust · Feel · Release · Rewire. Ready to meet your breath as a teacher? A holotropic breathing journey facilitated by Nikethana and Vinay. Pre-registration needed.</t>
  </si>
  <si>
    <t>Nikethana / Vinay</t>
  </si>
  <si>
    <t>Open to all; pre-registration required</t>
  </si>
  <si>
    <t>Breath_of_Becoming.jpg</t>
  </si>
  <si>
    <r>
      <rPr>
        <rFont val="Calibri,Arial"/>
        <color rgb="FF1155CC"/>
        <sz val="11.0"/>
        <u/>
      </rPr>
      <t>https://drive.google.com/file/d/1DFOa-jsUCGpekvtAjoBN6asRAByWQKRD/view?usp=drivesdk</t>
    </r>
  </si>
  <si>
    <t>12 Qualities and the Mother’s Symbol</t>
  </si>
  <si>
    <t>Workshop / Spiritual</t>
  </si>
  <si>
    <t>Every Tuesday</t>
  </si>
  <si>
    <t>Hall of Peace, Unity Pavilion</t>
  </si>
  <si>
    <t>A deep exploration of The Mother’s Symbol and 12 Qualities embodying the path of inner transformation.</t>
  </si>
  <si>
    <t>Jaya</t>
  </si>
  <si>
    <t>1099-2 Oct 2025.pdf</t>
  </si>
  <si>
    <t>Sound Bath by Svaram</t>
  </si>
  <si>
    <t>Meditation / Healing</t>
  </si>
  <si>
    <t>Every Wednesday</t>
  </si>
  <si>
    <t>Unity Hall, Unity Pavilion</t>
  </si>
  <si>
    <t>Experience the gentle power of sound as it flows through you, bringing balance, deep relaxation, and inner harmony.</t>
  </si>
  <si>
    <t>Tao of Tea – Sencha Style Tea Ceremony</t>
  </si>
  <si>
    <t>Cultural / Meditation</t>
  </si>
  <si>
    <t>Every Thursday</t>
  </si>
  <si>
    <t>Oneness Hall, Unity Pavilion</t>
  </si>
  <si>
    <t>A conscious and immersive experience of tea’s spiritual and healing power, nourishing both body and soul.</t>
  </si>
  <si>
    <t>Isha</t>
  </si>
  <si>
    <t>Silent Meditation</t>
  </si>
  <si>
    <t>Meditation</t>
  </si>
  <si>
    <t>Tune into your psychic self and experience deep inner peace and calm for awakening within.</t>
  </si>
  <si>
    <t>Pierre</t>
  </si>
  <si>
    <t>Garden Kids Art Class</t>
  </si>
  <si>
    <t>Art Workshop</t>
  </si>
  <si>
    <t>Garden, Unity Pavilion</t>
  </si>
  <si>
    <t>A playful exploration of watercolor techniques for children.</t>
  </si>
  <si>
    <t>Janakiraman</t>
  </si>
  <si>
    <t>Children</t>
  </si>
  <si>
    <t>The Flow: Chakra Meditation</t>
  </si>
  <si>
    <t>Every Friday</t>
  </si>
  <si>
    <t>Awaken your inner energy and activate your meridians and chakras through sound, mantras, and frequency for deep healing and balance.</t>
  </si>
  <si>
    <t>Sergei / Preeti</t>
  </si>
  <si>
    <t>Art for Land: Inner Awakening and Outer Expression</t>
  </si>
  <si>
    <t>Exhibition / Art</t>
  </si>
  <si>
    <t>Till 31 October 2025</t>
  </si>
  <si>
    <t>Monday–Saturday</t>
  </si>
  <si>
    <t>9 AM – 5 PM</t>
  </si>
  <si>
    <t>Unity Pavilion</t>
  </si>
  <si>
    <t>Exhibition celebrating handcrafted textile, art, and sculpture inspired by Sri Aurobindo’s Four Austerities—Knowledge, Love, Power, and Beauty.</t>
  </si>
  <si>
    <t>Priya</t>
  </si>
  <si>
    <t>Board Games</t>
  </si>
  <si>
    <t>Community / Social</t>
  </si>
  <si>
    <t>4 – 5:30 PM</t>
  </si>
  <si>
    <t>French Pavilion (Opp. Visitor Centre)</t>
  </si>
  <si>
    <t>Weekly social gathering for board games. Fun, creative, and open to all ages and languages.</t>
  </si>
  <si>
    <t>Vivekan</t>
  </si>
  <si>
    <t>Sunday Pétanque</t>
  </si>
  <si>
    <t>Sports / Cultural</t>
  </si>
  <si>
    <t>Every Sunday</t>
  </si>
  <si>
    <t>Discover or rediscover pétanque, a classic French game of skill and strategy. Open to all levels.</t>
  </si>
  <si>
    <t>French Pavilion Discussions</t>
  </si>
  <si>
    <t>Discussion / Cultural</t>
  </si>
  <si>
    <t>Open discussion and cultural exchange sessions hosted by French Pavilion.</t>
  </si>
  <si>
    <t>Train Like a Fighter – Boxing, Kickboxing &amp; Animal Flow</t>
  </si>
  <si>
    <t>Fitness / Sports</t>
  </si>
  <si>
    <t>Monday–Friday</t>
  </si>
  <si>
    <t>7–8 AM / 8–9 AM</t>
  </si>
  <si>
    <t>Unearth Hostel, Auroville</t>
  </si>
  <si>
    <t>🥊 Train with Sunny, a professional MMA fighter who represented India. Coaching available for beginners to professionals. All levels welcome. Join group kickboxing classes to build strength, fitness, and meet new people. Private sessions available. Please bring training shoes.</t>
  </si>
  <si>
    <t>Sunny</t>
  </si>
  <si>
    <t>₹1500/month (3 sessions a week) / ₹250 drop-in</t>
  </si>
  <si>
    <t>Open to all levels</t>
  </si>
  <si>
    <t>https://maps.app.goo.gl/kmXUucYxt9UD2aCE6</t>
  </si>
  <si>
    <t>Train Like a Fighter Poster.jpg</t>
  </si>
  <si>
    <t>https://drive.google.com/file/d/1u1mzGWY0GqEZbrfASAB386TlEWP8RNCh/view?usp=drivesdk</t>
  </si>
  <si>
    <t>Contacting the ‘Inherent Healer’</t>
  </si>
  <si>
    <t>Yoga / Healing Workshop</t>
  </si>
  <si>
    <t>6th – 10th October 2025</t>
  </si>
  <si>
    <t>6:00 – 7:30 PM</t>
  </si>
  <si>
    <t>Aurodhan Art Gallery, 33, Francois Martin St., Kuruchikuppam, Pondicherry – 605001</t>
  </si>
  <si>
    <t>A sincere exploration with Deeper Body Work in the light of Integral Yoga. Preparing the body for deeper awareness with the help of Āsana | PrāNayām | Mudrā. Open for all. Facilitated by Shweta C Rajurkar.</t>
  </si>
  <si>
    <t>Shweta C Rajurkar</t>
  </si>
  <si>
    <t>Not mentioned</t>
  </si>
  <si>
    <t>Open for all</t>
  </si>
  <si>
    <t>Contacting the Inherent Healer Poster.jpg</t>
  </si>
  <si>
    <t>https://drive.google.com/file/d/1FAzA0v-DGJTMVQlikIRmEfMawBFuipG9/view?usp=drivesdk</t>
  </si>
  <si>
    <t>Meditations at sunset with Savitri</t>
  </si>
  <si>
    <t>Meditation/Reading</t>
  </si>
  <si>
    <t>6:00 PM – 6:30 PM</t>
  </si>
  <si>
    <t>Amphitheatre, Matrimandir</t>
  </si>
  <si>
    <t>Savitri, Sri Aurobindo’s long mantric poem, read by Mother to Sunil’s music are on weekly for everyone to concentrate, in this beautiful open space in the very center of Auroville.</t>
  </si>
  <si>
    <t>Savitri team</t>
  </si>
  <si>
    <t>mmconcentration@auroville.org.in</t>
  </si>
  <si>
    <t>everyone / Guests with Aurocard wishing to attend should book at mmconcentration@auroville.org.in one or two days in advance. Access by Office Gate for the Amphitheater only from 5:45pm. Last entry for guests at 6pm. Access limited for guests to the Amphitheatre.</t>
  </si>
  <si>
    <t>Sharad Poornima: Flute recital by Sameer Rao</t>
  </si>
  <si>
    <t>Music/Recital</t>
  </si>
  <si>
    <t>8:00 PM – 9:00 PM</t>
  </si>
  <si>
    <t>Mini Amphitheatre, Matrimandir</t>
  </si>
  <si>
    <t>Arpana and Matrimandir invite you all to a mystical evening of music on the brightest full moon night of the year— Sharad Poornima. Come and experience the magic of a flute concert at the mini amphitheatre on Monday, 6 October, from 8—9pm.</t>
  </si>
  <si>
    <t>Please note: last entry 7:45pm.</t>
  </si>
  <si>
    <t>A weekly study circle on The Synthesis of Yoga—Sri Aurobindo</t>
  </si>
  <si>
    <t>Study Circle/Talk</t>
  </si>
  <si>
    <t>Weekly</t>
  </si>
  <si>
    <t>Bharat Nivas</t>
  </si>
  <si>
    <t>Film Screening: Meditations on Savitri, Book 10—The Book of The Double Twilight, Cantos 1–4</t>
  </si>
  <si>
    <t>Movie Screening/Meditative Film</t>
  </si>
  <si>
    <t>Savitri Bhavan</t>
  </si>
  <si>
    <t>A meditative film made of passages from Sri Aurobindo’s epic poem SAVITRI—A Legend and a Symbol, read by The Mother, accompanied by Her own organ music and illustrated with paintings by Huta made under the guidance and inspiration of The Mother. The film gives knowledge about the complexity of our world, its light and shadows, and its evolution of Nothingness towards the Eternal; it connects us to the Divine Presence within, filling us with the Divine Mother’s love and light by hearing Her voice, and leads us towards spiritual truth and the New Consciousness. Duration: 41min.</t>
  </si>
  <si>
    <t>Film Screening: The Mother on the Overmind Gods and The Mother on Overmind &amp; Supermind</t>
  </si>
  <si>
    <t>Movie Screening/Talk</t>
  </si>
  <si>
    <t>The Mother explains the Overmind as the domain of the gods, that the gods are conscious of their own divinity but do not know surrender and avoid to incarnate on earth, except Sri Krishna. She also speaks about the long terrestrial evolution, the Veda’s ‘forefathers’, her successful efforts to bring the Overmind down into matter, how Sri Krishna descended into Sri Aurobindo’s body, Sri Aurobindo’s withdrawal, and that she came in charge of the sadhaks. The Mother speaks in French and the English translation is on the screen. Films by Arvind T Akki. Duration: 40min.</t>
  </si>
  <si>
    <t>Film Screening: Sri Aurobindo’s Integral Yoga—Evolution Fast-forward, Part 2. Psychology, Cosmology, Transformational Practice.</t>
  </si>
  <si>
    <t>Movie Screening/Educational</t>
  </si>
  <si>
    <t>An educational motion graphics film by Sopanam. Duration: 50min.</t>
  </si>
  <si>
    <t>Film Screening: Evolution Fast-forward, Part 4—Spiritual History of India in the Light of Sri Aurobindo</t>
  </si>
  <si>
    <t>This film traces the spiritual evolution of India over 4000 years, seen through an original Indic perspective based on Sri Aurobindo’s research to discover the past and future of India’s gift to the world. Film by Sopanam. Duration: 75 min.</t>
  </si>
  <si>
    <t>Full Moon Gathering</t>
  </si>
  <si>
    <t>Gathering/Meditation</t>
  </si>
  <si>
    <t>7:15 PM – 8:15 PM</t>
  </si>
  <si>
    <t>in front of Sri Aurobindo’s statue</t>
  </si>
  <si>
    <t>Dream Divine Series: Surrender in Integral Yoga &amp; The Mother: A New Birth</t>
  </si>
  <si>
    <t>Presentation/Talk/Film</t>
  </si>
  <si>
    <t>4:00 PM – 5:00 PM</t>
  </si>
  <si>
    <t>Sangam Hall</t>
  </si>
  <si>
    <t>This initiative is designed especially for newcomers, aiming to provide a deeper understanding of the Aims and Ideals of Auroville, the Life and Works of Sri Aurobindo and the Mother, and the principles of Integral Yoga. The series will feature interviews, lectures, and presentations by Aurovilians and Ashramites through video documentaries and live talks followed by interactive Q&amp;A sessions. A wide range of topics will cover the richness and diversity of Auroville’s vision, life, and reality. (Specific Event: A powerpoint presentation by Nethya and The Mother: A New Birth—Interview with Surendranath Jauhar—A recorded video film.)</t>
  </si>
  <si>
    <t>newcomers</t>
  </si>
  <si>
    <t>Dream Divine Series: Living with Savitri</t>
  </si>
  <si>
    <t>Savitri Bhavan (Implicit)</t>
  </si>
  <si>
    <t>This initiative is designed especially for newcomers, aiming to provide a deeper understanding of the Aims and Ideals of Auroville, the Life and Works of Sri Aurobindo and the Mother, and the principles of Integral Yoga. (Specific Event: a recorded video of Dr. Prema Nandakumar.)</t>
  </si>
  <si>
    <t>Dream Divine Series: Sri Aurobindo and Spiritual Quest of Humanity</t>
  </si>
  <si>
    <t>This initiative is designed especially for newcomers, aiming to provide a deeper understanding of the Aims and Ideals of Auroville, the Life and Works of Sri Aurobindo and the Mother, and the principles of Integral Yoga. (Specific Event: a recorded video of Dr. M.V. Nadkarni at Matagiri, 2004.)</t>
  </si>
  <si>
    <t>Dream Divine Series: Ideal of Human Unity</t>
  </si>
  <si>
    <t>Talk</t>
  </si>
  <si>
    <t>This initiative is designed especially for newcomers, aiming to provide a deeper understanding of the Aims and Ideals of Auroville, the Life and Works of Sri Aurobindo and the Mother, and the principles of Integral Yoga. (Specific Event: Talk by Ameeta Mehra, Gnostic Centre.)</t>
  </si>
  <si>
    <t>Dream Divine Series: Finding the Divine through Karma Yoga</t>
  </si>
  <si>
    <t>This initiative is designed especially for newcomers, aiming to provide a deeper understanding of the Aims and Ideals of Auroville, the Life and Works of Sri Aurobindo and the Mother, and the principles of Integral Yoga. (Specific Event: A talk by Dr. Alok Pandey.)</t>
  </si>
  <si>
    <t>Savitri Satsang with Narad</t>
  </si>
  <si>
    <t>Study/Chanting/Reading</t>
  </si>
  <si>
    <t>4:30 PM – 5:15 PM</t>
  </si>
  <si>
    <t>In this exploration of Savitri we will study the mantric lines of Savitri with the wealth of definitions from Sri Aurobindo and the Mother.</t>
  </si>
  <si>
    <t>Narad</t>
  </si>
  <si>
    <t>All are welcome</t>
  </si>
  <si>
    <t>OM Choir</t>
  </si>
  <si>
    <t>Chanting/Music</t>
  </si>
  <si>
    <t>5:30 PM – 6:15 PM</t>
  </si>
  <si>
    <t>Savitri Bhavan, Auroville</t>
  </si>
  <si>
    <t>The voice that chants to the creator Fire, The symbolled OM, the great assenting Word. Savitri Please join us in this collective aspiration, in the form of a united prayer.</t>
  </si>
  <si>
    <t>All are welcome, no prior singing experience required</t>
  </si>
  <si>
    <t>Ashram School, Pondicherry</t>
  </si>
  <si>
    <t>Hymn to the Earth (Bhūmi Sūkta) from the Atharva Veda—Invitation to a collective sharing by Nishtha</t>
  </si>
  <si>
    <t>Book Reading/Sharing</t>
  </si>
  <si>
    <t>5:00 PM – 6:00 PM</t>
  </si>
  <si>
    <t>The Hymn to the Earth with 63 verses in different poetic metres occurs in Book 12 of the Atharva Veda and is certainly the most extensive and most ancient work of its kind. It gives us a window of opportunity to fathom the synthetic Indian mind at a period where the life of the society is still centred in the vision of the Vedic Rishis where Heaven and Earth are a divine couple and Mother Earth is seen as the evolutionary embodiment of the Divine. [...] The idea of this continuous program is first to recite a verse in the original, then dwell on its most central vocabulary and syntax and then collectively come up with an English rendering, taking advantage of the rich variety and different talents of beings living in Auroville.</t>
  </si>
  <si>
    <t>Nishtha</t>
  </si>
  <si>
    <t>No primary knowledge of Sanskrit is required for any participant.</t>
  </si>
  <si>
    <t>Every Friday (New Activity from Oct 2025)</t>
  </si>
  <si>
    <t>Poetry Stillpoint: An Invitation</t>
  </si>
  <si>
    <t>Poetry/Art</t>
  </si>
  <si>
    <t>Savitri Bhavan Garden (Saraswati Park)</t>
  </si>
  <si>
    <t>Gather for a poetic expression in design—a living, visual embodiment of “Invitation”, a poem by Sri Aurobindo (1908-09). The event begins with a brief sharing of context, followed by quiet, experiential time with the poetic art. Meet at the open amphitheater in the Savitri Bhavan gardens (Saraswati Park). Please come prepared for a comfortable walk in the park.</t>
  </si>
  <si>
    <t>Chetana</t>
  </si>
  <si>
    <t>chetana@auroville.org.in</t>
  </si>
  <si>
    <t>Savitri Study Circle</t>
  </si>
  <si>
    <t>Study Circle/Reading</t>
  </si>
  <si>
    <t>10:30 AM – 12:00 PM</t>
  </si>
  <si>
    <t>Larry Seidlitz</t>
  </si>
  <si>
    <t>Finding the soul (Book 7 Canto 5 of Savitri)</t>
  </si>
  <si>
    <t>Reading/Study Circle</t>
  </si>
  <si>
    <t>Every Monday</t>
  </si>
  <si>
    <t>3:00 PM – 4:00 PM</t>
  </si>
  <si>
    <t>Dr. Jai Singh</t>
  </si>
  <si>
    <t>Readings of the words of The Mother on Aims and Ideals of Auroville</t>
  </si>
  <si>
    <t>L’Agenda de Mère: lecture in French</t>
  </si>
  <si>
    <t>Monday to Saturday</t>
  </si>
  <si>
    <t>Monday, Tuesday, Wednesday, Thursday, Friday, Saturday</t>
  </si>
  <si>
    <t>3:00 PM – 5:00 PM</t>
  </si>
  <si>
    <t>Videos of The English of Savitri</t>
  </si>
  <si>
    <t>Video/Study Circle</t>
  </si>
  <si>
    <t>Shraddhavan</t>
  </si>
  <si>
    <t>Reflections on ‘Release of Ego’ part 2 of Ch. 9 from The Synthesis of Yoga</t>
  </si>
  <si>
    <t>Satsang</t>
  </si>
  <si>
    <t>Gathering/Talk</t>
  </si>
  <si>
    <t>5:00 PM – 6:30 PM</t>
  </si>
  <si>
    <t>Ashesh Joshi</t>
  </si>
  <si>
    <t>Bhagavad Gita Chanting</t>
  </si>
  <si>
    <t>Chanting/Meditation</t>
  </si>
  <si>
    <t>7:00 AM – 8:00 AM</t>
  </si>
  <si>
    <t>The Mother’s Flower Garden</t>
  </si>
  <si>
    <t>All are welcome to join the Bhagavad Gita Chanting sessions</t>
  </si>
  <si>
    <t>Deven</t>
  </si>
  <si>
    <t>vidyamandir@auroville.org.in</t>
  </si>
  <si>
    <t>Exhibition on Dalai Lama and Auroville—Three Memorable Visits</t>
  </si>
  <si>
    <t>Exhibition</t>
  </si>
  <si>
    <t>Open every day except Sunday.</t>
  </si>
  <si>
    <t>Pavilion of Tibetan Culture</t>
  </si>
  <si>
    <t>On the occasion of the 90th Birthday of His Holiness the Dalai Lama, the Pavilion of Tibetan Culture presents an exhibition on “Dalai Lama and Auroville—Three Memorable Visits (1973, 1993 &amp; 2009)”</t>
  </si>
  <si>
    <t>Kalsang</t>
  </si>
  <si>
    <t>Learn the 1008 Namas (Sacred Names) of the “Divine Mother” (Sri Lalitha Sahasranamam)</t>
  </si>
  <si>
    <t>Chanting/Learning</t>
  </si>
  <si>
    <t>Buvana’s house, Certitude Community</t>
  </si>
  <si>
    <t>Dear Devotees of The Mother, Here is an opportunity to learn the 1008 namas (sacred names) of the “Divine Mother”, “Sri Lalitha Sahasranamam” weekly on Thursday evenings from 6pm to 6:30pm at Buvana’s house in Certitude Community.</t>
  </si>
  <si>
    <t>Buvana</t>
  </si>
  <si>
    <t>(+91) 9443703287</t>
  </si>
  <si>
    <t>Dear Devotees of The Mother</t>
  </si>
  <si>
    <t>Free AI Masterclass for all</t>
  </si>
  <si>
    <t>Masterclass/Technology</t>
  </si>
  <si>
    <t>10:00 AM – 11:00 AM</t>
  </si>
  <si>
    <t>Hive, Auromode</t>
  </si>
  <si>
    <t>Are you looking to transform your future and career with AI? Come Join our Free AI Masterclass at Hive Coworking Space facilitated by S.M. Pandi Subramanian, founder of Enthiram. AI, with over 20 years of pioneering work in AI innovation and solutions.</t>
  </si>
  <si>
    <t>S.M. Pandi Subramanian</t>
  </si>
  <si>
    <t>Open for all, no prior experience needed.</t>
  </si>
  <si>
    <t>Yoga &amp; Wellness with Anandou (IEC)</t>
  </si>
  <si>
    <t>Class/Wellness</t>
  </si>
  <si>
    <t>Monday—Saturday</t>
  </si>
  <si>
    <t>Afternoons, 3:30 PM – 6:00 PM</t>
  </si>
  <si>
    <t>Ilaignarkal Education Centre (IEC)</t>
  </si>
  <si>
    <t>Vanakkam! In line with our motto—Supporting the workers and children of Auroville through shared learning and holistic empowerment—we invite you to engage with our team of resource experts.</t>
  </si>
  <si>
    <t>Anandou</t>
  </si>
  <si>
    <t>Workers and children of Auroville. To Enroll: Please call us at 0413 2623773 to book your slot in advance.</t>
  </si>
  <si>
    <t>Spoken English with Anandou (IEC)</t>
  </si>
  <si>
    <t>Class/Learning</t>
  </si>
  <si>
    <t>Performing &amp; Visual Arts Specialist Consultation</t>
  </si>
  <si>
    <t>Consultation/Art</t>
  </si>
  <si>
    <t>Drupad</t>
  </si>
  <si>
    <t>Women &amp; Children Welfare Consultant Consultation</t>
  </si>
  <si>
    <t>Consultation/Welfare</t>
  </si>
  <si>
    <t>Harshini</t>
  </si>
  <si>
    <t>Bharatanatyam Dance Instruction</t>
  </si>
  <si>
    <t>Dance Class</t>
  </si>
  <si>
    <t>3:00 PM – 4:30 PM</t>
  </si>
  <si>
    <t>Monika</t>
  </si>
  <si>
    <t>Tailoring &amp; Textile Design Mentoring</t>
  </si>
  <si>
    <t>Workshop/Mentoring</t>
  </si>
  <si>
    <t>Monday—Friday</t>
  </si>
  <si>
    <t>9:00 AM – 3:00 PM</t>
  </si>
  <si>
    <t>Prabha</t>
  </si>
  <si>
    <t>Tamil Culture, Poetry, Language &amp; Village Social Dynamics Session 1</t>
  </si>
  <si>
    <t>Talk/Culture</t>
  </si>
  <si>
    <t>3:30 PM – 4:30 PM</t>
  </si>
  <si>
    <t>R. Meenakshi</t>
  </si>
  <si>
    <t>Tamil Culture, Poetry, Language &amp; Village Social Dynamics Session 2</t>
  </si>
  <si>
    <t>4:45 PM – 5:45 PM</t>
  </si>
  <si>
    <t>Editorial Support; Tamil Language Typing &amp; Tamil Poetry Consultation</t>
  </si>
  <si>
    <t>Consultation/Writing</t>
  </si>
  <si>
    <t>Ramesh Karunakaran</t>
  </si>
  <si>
    <t>System Design &amp; Research in Technology and Social Entrepreneurship Consultation</t>
  </si>
  <si>
    <t>Consultation/Research</t>
  </si>
  <si>
    <t>Sivakumar</t>
  </si>
  <si>
    <t>Library In-charge &amp; Reading Circle Facilitator</t>
  </si>
  <si>
    <t>Session/Reading</t>
  </si>
  <si>
    <t>10:00 AM – 12:00 PM</t>
  </si>
  <si>
    <t>Vatchala</t>
  </si>
  <si>
    <t>Birthday of STEM Land</t>
  </si>
  <si>
    <t>Celebration/Education</t>
  </si>
  <si>
    <t>9:00 AM – 1:00 PM</t>
  </si>
  <si>
    <t>Udavi School</t>
  </si>
  <si>
    <t>Poovizhi</t>
  </si>
  <si>
    <t>Weekly Baby Support Circle</t>
  </si>
  <si>
    <t>Support Group/Health</t>
  </si>
  <si>
    <t>9:00 AM – 12:00 PM</t>
  </si>
  <si>
    <t>Lilaloka</t>
  </si>
  <si>
    <t>Hello, wonderful parents! Join our Weekly Baby Support Circle hosted by Lilaloka! We warmly invite you to our Weekly Baby Support Circle, a nurturing space created especially for parents of newborns to one-year-olds. Come as you are, connect with other parents, and celebrate the journey of raising your little one. Here’s what to expect: Heartfelt Connections: Share your joys, challenges, and stories with other parents who truly understand. A Safe Haven: A welcoming, nonjudgmental space for growth, encouragement, and community. Inspiring Sessions: Special guest speakers to guide and support you on topics that matter most. We can’t wait to welcome you and your baby into this circle of love and support. Let’s grow together!</t>
  </si>
  <si>
    <t>Rotem</t>
  </si>
  <si>
    <t>parents of newborns to one-year-olds</t>
  </si>
  <si>
    <t>Childbirth and Pregnancy education</t>
  </si>
  <si>
    <t>Education/Health Class</t>
  </si>
  <si>
    <t>Creativity—Hall of Light</t>
  </si>
  <si>
    <t>Morning Star offers education to expectant parents about conscious pregnancy, childbirth and parenting. Classes include gentle body movement, educational topics related to pregnancy including Birth plan, Birth without fear, Stages of labour, Partner role &amp; comfort measures during labour, Breastfeeding, Father’s role and Postnatal &amp; newborn care.</t>
  </si>
  <si>
    <t>Savithri</t>
  </si>
  <si>
    <t>(+91) 8940571774 (WA only)</t>
  </si>
  <si>
    <t>morningstar@auroville.org.in</t>
  </si>
  <si>
    <t>expectant parents—Aurovilians, Newcomers, Volunteers, Staff and couples from the Bio region</t>
  </si>
  <si>
    <t>Parent–Baby Play and Support Group (Little Red Feet)</t>
  </si>
  <si>
    <t>Support Group/Play</t>
  </si>
  <si>
    <t>Every Tuesday / Every Thursday</t>
  </si>
  <si>
    <t>Tuesday / Thursday</t>
  </si>
  <si>
    <t>2:30 PM – 4:00 PM</t>
  </si>
  <si>
    <t>Humanscapes Hall</t>
  </si>
  <si>
    <t>Little Red Feet is a parent–baby play and support group for babies aged 0—2 years. We meet every Tuesday and Thursday from 2:30—4pm Each session has a gentle theme, with a joyful space for babies to explore and parents to connect. We also have baby-friendly snacks and tea/ coffee for parents. Join us for a nurturing way to celebrate early childhood together.</t>
  </si>
  <si>
    <t>(+91) 9130084284</t>
  </si>
  <si>
    <t>babies aged 0—2 years / Parents</t>
  </si>
  <si>
    <t>Visit of the Tibetan Doctor (Consultation)</t>
  </si>
  <si>
    <t>Health/Consultation</t>
  </si>
  <si>
    <t>2:00 PM – 5:30 PM</t>
  </si>
  <si>
    <t>Pavilion of Tibetan Culture, International Zone</t>
  </si>
  <si>
    <t>This is to your information, that the Tibetan Doctor and the team are visiting us.</t>
  </si>
  <si>
    <t>8489067332 (WA)</t>
  </si>
  <si>
    <t>We kindly request to get your appointment to get the consultation with the doctor.</t>
  </si>
  <si>
    <t>8:30 AM – 1:00 PM &amp; 2:00 PM – 5:30 PM</t>
  </si>
  <si>
    <t>We kindly request to get your appointment to get the</t>
  </si>
  <si>
    <t>Aikitaiso (Body practice based on Zen movement and Aikido body preparation)</t>
  </si>
  <si>
    <t>Body Practice</t>
  </si>
  <si>
    <t>Daily</t>
  </si>
  <si>
    <t>Monday to Friday</t>
  </si>
  <si>
    <t>8—9am</t>
  </si>
  <si>
    <t>Auroville Budokan, Dehashakti</t>
  </si>
  <si>
    <t>Perfect for everybody who wants to feel more grounded.</t>
  </si>
  <si>
    <t>Philippe G., N. Murugan</t>
  </si>
  <si>
    <t>(+91) 8300643963 (WA), (+91) 9952812843 (WA)</t>
  </si>
  <si>
    <t>Everybody</t>
  </si>
  <si>
    <t>Aikido Classes - Advanced</t>
  </si>
  <si>
    <t>Martial Arts</t>
  </si>
  <si>
    <t>6—8am</t>
  </si>
  <si>
    <t>Aikido Classes - Weapon</t>
  </si>
  <si>
    <t>5:15—6:15pm</t>
  </si>
  <si>
    <t>9—10am</t>
  </si>
  <si>
    <t>Kalari Classes for Beginners</t>
  </si>
  <si>
    <t>Monday, Wednesday, Friday</t>
  </si>
  <si>
    <t>Morning classes: 6:30—7:30am</t>
  </si>
  <si>
    <t>Kshētra Kalari @ Aspiration Sport Ground</t>
  </si>
  <si>
    <t>Maneesh</t>
  </si>
  <si>
    <t>(+91) 9042009200</t>
  </si>
  <si>
    <t>Beginners</t>
  </si>
  <si>
    <t>Tuesday, Thursday, Saturday</t>
  </si>
  <si>
    <t>Evening classes: 5—6pm</t>
  </si>
  <si>
    <t>Kalari Classes for Advanced People</t>
  </si>
  <si>
    <t>Morning classes 6:30—7:30am</t>
  </si>
  <si>
    <t>Advanced People</t>
  </si>
  <si>
    <t>Tai Chi Quan &amp; Chi Classes</t>
  </si>
  <si>
    <t>Moving Meditation / Martial Arts</t>
  </si>
  <si>
    <t>Tuesday and Friday</t>
  </si>
  <si>
    <t>6:30—7:45am</t>
  </si>
  <si>
    <t>Dehashakti outside</t>
  </si>
  <si>
    <t>Hans</t>
  </si>
  <si>
    <t>(+91) 8110848123 (WA)</t>
  </si>
  <si>
    <t>Moving meditation: Taichi &amp; Qi-gong</t>
  </si>
  <si>
    <t>Moving Meditation</t>
  </si>
  <si>
    <t>Every Monday &amp; Tuesday</t>
  </si>
  <si>
    <t>Monday &amp; Tuesday</t>
  </si>
  <si>
    <t>Budokan, Dehashakti</t>
  </si>
  <si>
    <t>Taichi is the art of change. Learning how to drive your energy. It is a mental &amp; physical training method.</t>
  </si>
  <si>
    <t>Jiseong Park</t>
  </si>
  <si>
    <t>(+91) 7094339490 (WA)</t>
  </si>
  <si>
    <t>Auroville futsal/ football club</t>
  </si>
  <si>
    <t>Sports</t>
  </si>
  <si>
    <t>Monday and Wednesday</t>
  </si>
  <si>
    <t>Dehashakti</t>
  </si>
  <si>
    <t>Futsal is played on a much smaller court, it is more fun and intense, with more opportunity for goal scoring. We play futsal in Dehashakti, If you like football/ futsal and you want to learn, play and have fun, come and enjoy with us!</t>
  </si>
  <si>
    <t>Balaji</t>
  </si>
  <si>
    <t>(+91) 8940224950</t>
  </si>
  <si>
    <t>Girls all age/ level</t>
  </si>
  <si>
    <t>Beber</t>
  </si>
  <si>
    <t>(+91) 638563 5943</t>
  </si>
  <si>
    <t>Boys 16yo+</t>
  </si>
  <si>
    <t>Morning swimming classes for children</t>
  </si>
  <si>
    <t>Swimming Class</t>
  </si>
  <si>
    <t>Tuesdays &amp; Thursdays</t>
  </si>
  <si>
    <t>6:30am—7:30am</t>
  </si>
  <si>
    <t>La Piscine</t>
  </si>
  <si>
    <t>Group classes for Aurovillian kids aged 11 to 15 years. Safe and fun environment with professional guidance Build confidence, improve technique, and enjoy the water!</t>
  </si>
  <si>
    <t>Sonia and Ana</t>
  </si>
  <si>
    <t>(+91) 8940 288090 (WA)</t>
  </si>
  <si>
    <t>Aurovillian kids aged 11 to 15 years</t>
  </si>
  <si>
    <t>Wellpaper Workshop</t>
  </si>
  <si>
    <t>Every day except Sunday</t>
  </si>
  <si>
    <t>10am—4pm</t>
  </si>
  <si>
    <t>Wellpaper</t>
  </si>
  <si>
    <t>Join our workshop to learn &amp; enjoy the process of turning waste paper into art. Create your own unique upcycled products from old newspapers to take home.</t>
  </si>
  <si>
    <t>Viji</t>
  </si>
  <si>
    <t>(+91) 9385744722, 0413 2969722</t>
  </si>
  <si>
    <t>Saturday Free Farm Tour!</t>
  </si>
  <si>
    <t>Tour</t>
  </si>
  <si>
    <t>Solitude Farm</t>
  </si>
  <si>
    <t>Be a part of a weekly farm tour to learn where your food comes from.</t>
  </si>
  <si>
    <t>solitudepermaculture@gmail.com</t>
  </si>
  <si>
    <t>Cooking Class (Mohanam Program)</t>
  </si>
  <si>
    <t>Class / Workshop</t>
  </si>
  <si>
    <t xml:space="preserve">Monday, Tuesday, Wednesday, Thursday, Friday, Saturday </t>
  </si>
  <si>
    <t>10am—12:30pm</t>
  </si>
  <si>
    <t>Mohanam Campus</t>
  </si>
  <si>
    <t>Learn to cook traditional South Indian food and snacks.</t>
  </si>
  <si>
    <t>Balu</t>
  </si>
  <si>
    <t>(+91) 8300949079</t>
  </si>
  <si>
    <t>mohanamprogram@auroville.org.in</t>
  </si>
  <si>
    <t>Advance booking (1 day) is necessary.</t>
  </si>
  <si>
    <t>Saree Draping (Mohanam Program)</t>
  </si>
  <si>
    <t>Learn how to drape a saree and model your look in an optional photoshoot.</t>
  </si>
  <si>
    <t>Siddhar Ongara Five Elements Chanting</t>
  </si>
  <si>
    <t>Chanting Class</t>
  </si>
  <si>
    <t>3:30—4:30pm</t>
  </si>
  <si>
    <t>Chanting calms the mind, boosts energy, and fosters inner peace—join our class to experience its transformative power.</t>
  </si>
  <si>
    <t>Auroville Northwest Tour</t>
  </si>
  <si>
    <t>10:30am—1pm</t>
  </si>
  <si>
    <t>Auroville Northwest Zone</t>
  </si>
  <si>
    <t>Experience the beauty and richness of Tamil culture, tradition and heritage in the north-west zone of Auroville.</t>
  </si>
  <si>
    <t>Mohanam Campus Tour</t>
  </si>
  <si>
    <t>Mohanam Bio-region Cultural Centre</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</si>
  <si>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</si>
  <si>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Bamboo Centre Campus Tour</t>
  </si>
  <si>
    <t>11am—12:30pm, 2:30—4:30pm</t>
  </si>
  <si>
    <t>Auroville Bamboo Centre</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</si>
  <si>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</si>
  <si>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(+91) 8300949081, 0413 2623806/ 2964727</t>
  </si>
  <si>
    <t>bambooworkshop@auroville.org.in, bamboocentre@auroville.org</t>
  </si>
  <si>
    <t>Registration one day in advance.</t>
  </si>
  <si>
    <t>www.aurovillebamboocentre.org</t>
  </si>
  <si>
    <t>Auroville Bamboo Tour with Special Bamboo Lunch</t>
  </si>
  <si>
    <t>11:30am—12:30pm</t>
  </si>
  <si>
    <t>Furniture Workshop (Bamboo Centre)</t>
  </si>
  <si>
    <t>9am—12:30pm, 1:30—5pm</t>
  </si>
  <si>
    <t>This immersive learning experience that offers the opportunity to learn the fundamentals of furniture construction and then make and take the furniture piece back home.</t>
  </si>
  <si>
    <t>Bamboo Lampshade (Workshop)</t>
  </si>
  <si>
    <t>Come and learn to make your own Bamboo Lampshade at Bamboo Centre and take home your own hand made lampshade at the end of the workshop.</t>
  </si>
  <si>
    <t>Bamboo Giraffe (Workshop)</t>
  </si>
  <si>
    <t>Come and learn to make your own Bamboo Giraffe at Bamboo Centre and take home your own hand made giraffe at the end of the workshop.</t>
  </si>
  <si>
    <t>Bamboo Bicycle (For Kids) (Workshop)</t>
  </si>
  <si>
    <t>Are you ready to bring your cycling aspirations to life? Join our immersive 1-day Bamboo Bicycle frame-building experience and embark on a journey that goes beyond just assembling a cycle.</t>
  </si>
  <si>
    <t>Bamboo Toys (Workshop)</t>
  </si>
  <si>
    <t>9am—12:30pm or 2:30pm—5pm</t>
  </si>
  <si>
    <t>Come and learn to make your own Bamboo Toys at Bamboo Centre and take home your own hand made Toys at the end of the workshop.</t>
  </si>
  <si>
    <t>Walk-in registration available.</t>
  </si>
  <si>
    <t>Bamboo Musical Instruments (Workshop)</t>
  </si>
  <si>
    <t>Come and learn to make your own traditional/ folk instruments at our centre from professional craftsmen and take home your own handmade instrument at the end of the workshop.</t>
  </si>
  <si>
    <t>Bamboo Jewellery (Workshop)</t>
  </si>
  <si>
    <t>Choose to craft, out of bamboo and learn to make your own Bamboo Jewellery at Bamboo Centre from professional craftsmen and take home your own handmade Jewellery at the end of the workshop.</t>
  </si>
  <si>
    <t>Bamboo Planter (Workshop)</t>
  </si>
  <si>
    <t>10am—12:30pm or 2:30pm—5pm</t>
  </si>
  <si>
    <t>Come and learn to make your own Bamboo Planters at Bamboo centre and take home your own hand made Planter at the end of the workshop.</t>
  </si>
  <si>
    <t>Bamboo Archery (Workshop)</t>
  </si>
  <si>
    <t>Come and learn to make your own Bamboo Archery at Bamboo Centre and take home your own hand made Archery at the end of the workshop. This course provides you with the opportunity and guidance for create their own bamboo archery and bow from start to end. All tools and materials provided in the cost of course.</t>
  </si>
  <si>
    <t>Plant based Saturday: Cow Connection</t>
  </si>
  <si>
    <t>Connection / Learning</t>
  </si>
  <si>
    <t>Sadhana Forest</t>
  </si>
  <si>
    <t>Join us every Saturday for a day of connection, learning, and delicious plant-based food! Whether you’re curious about sustainable living, enjoy spending time with cows, or want to explore new recipes, we’d love to have you with us.</t>
  </si>
  <si>
    <t>Aviram</t>
  </si>
  <si>
    <t>(+91) 8525038274</t>
  </si>
  <si>
    <t>sadhanaforest@auroville.org.in</t>
  </si>
  <si>
    <t>Plant based Saturday: Plant-Based Cooking Class</t>
  </si>
  <si>
    <t>Cooking Class</t>
  </si>
  <si>
    <t>Plant based Saturday: Talk on Diet &amp; Nutrition</t>
  </si>
  <si>
    <t>Hive Coworking Space Open House</t>
  </si>
  <si>
    <t>Open House</t>
  </si>
  <si>
    <t>9am—7pm</t>
  </si>
  <si>
    <t>Step into Hive and experience the Cosy workspace with super-fast Internet, Coffee—All for Free on our weekly Open House from 9am to 7pm.</t>
  </si>
  <si>
    <t>Dhesh</t>
  </si>
  <si>
    <t>(+91) 9042759540 (WA), (+91) 7092197375 (WA)</t>
  </si>
  <si>
    <t>auromodehive@auroville.org.in</t>
  </si>
  <si>
    <t>www.auromode.in/hive-coworking</t>
  </si>
  <si>
    <t>Gau Seva at Sadhana Forest!</t>
  </si>
  <si>
    <t>Volunteering</t>
  </si>
  <si>
    <t>Any day</t>
  </si>
  <si>
    <t>7am onwards</t>
  </si>
  <si>
    <t>Sadhana Forest Gaushala</t>
  </si>
  <si>
    <t>Your heartful service is needed at the Sadhana Forest Gaushala! You are most welcome to join us on any day from 7am onwards, and have a vegan breakfast at 8:45am.</t>
  </si>
  <si>
    <t>(+91) 8525038274 (WA), (+91) 8122274924 (call)</t>
  </si>
  <si>
    <t>Volunteering @ Ecoservice</t>
  </si>
  <si>
    <t>Mornings</t>
  </si>
  <si>
    <t>Ecoservice</t>
  </si>
  <si>
    <t>Tuesday mornings is a dedicated time that all are welcome to randomly drop in for some onsite sorting and other activities, to look around or whatever.</t>
  </si>
  <si>
    <t>B</t>
  </si>
  <si>
    <t>(+91) 7598911090 (WA)</t>
  </si>
  <si>
    <t>GOYO Korean Silent Restaurant: Lunch</t>
  </si>
  <si>
    <t>Meal/Social</t>
  </si>
  <si>
    <t>Tuesday &amp; Saturday</t>
  </si>
  <si>
    <t>Luminosity Auroville</t>
  </si>
  <si>
    <t>Please book one day in advance</t>
  </si>
  <si>
    <t>Won Ja</t>
  </si>
  <si>
    <t>(+91) 9489693809</t>
  </si>
  <si>
    <t>goyo@auroville.org.in</t>
  </si>
  <si>
    <t>GOYO Korean Silent Restaurant: Tea Ceremony</t>
  </si>
  <si>
    <t>Tea Ceremony</t>
  </si>
  <si>
    <t>10am &amp; 3pm</t>
  </si>
  <si>
    <t>Regular Yoga Classes @ Progress Hall - Vinyasa Flow</t>
  </si>
  <si>
    <t>Yoga Class</t>
  </si>
  <si>
    <t>Starting 2 October</t>
  </si>
  <si>
    <t>Thursday, Friday, Saturday, Sunday &amp; Monday</t>
  </si>
  <si>
    <t>5:30—7pm</t>
  </si>
  <si>
    <t>Progress Hall, Bharat Nivas</t>
  </si>
  <si>
    <t>Vinyasa Flow yoga emphasizes the coordination of breath and movement, creating a dynamic and fluid practice. Whether you’re a beginner or an experienced yogi, Vinyasa Flow classes adapt to your level, offering the perfect balance of intensity and mindfulness.</t>
  </si>
  <si>
    <t>Bala</t>
  </si>
  <si>
    <t>Rs 500 per class (guests/non-Aurovilians); Rs 200 per class (Aurovilians/Newcomers/Volunteers)</t>
  </si>
  <si>
    <t>Beginner to Intermediate friendly</t>
  </si>
  <si>
    <t>Mantras &amp; Stotras Traditional Chanting Class</t>
  </si>
  <si>
    <t>Serendipity Community</t>
  </si>
  <si>
    <t>Sonia</t>
  </si>
  <si>
    <t>(+91) 8940288090</t>
  </si>
  <si>
    <t>serendipityauroville@gmail.com</t>
  </si>
  <si>
    <t>Body awareness &amp; Relaxation with Hans</t>
  </si>
  <si>
    <t>Body Awareness</t>
  </si>
  <si>
    <t>5—6:15pm</t>
  </si>
  <si>
    <t>Budokan Dojo, Dehashakti</t>
  </si>
  <si>
    <t>Sitara Munay-Ki Yoga: Meditation · Yin Yoga · Sound Journey</t>
  </si>
  <si>
    <t>Yoga / Meditation</t>
  </si>
  <si>
    <t>10:30am—12pm</t>
  </si>
  <si>
    <t>Hall of Light in Creativity</t>
  </si>
  <si>
    <t>In this class, accessible to all levels, Sitara will teach her favorite combination of meditation, yin yoga and sound journey. Yin yoga uses gentle, long-held poses to release deep tension and increase flexibility.</t>
  </si>
  <si>
    <t>Sitara</t>
  </si>
  <si>
    <t>Guests Rs600, Aurovilians Rs200</t>
  </si>
  <si>
    <t>Accessible to all levels</t>
  </si>
  <si>
    <t>sitaramunay-kiyoga.org</t>
  </si>
  <si>
    <t>New Creation Studio</t>
  </si>
  <si>
    <t>Munay Surya Kriya · Yoga · Tibetans Rites</t>
  </si>
  <si>
    <t>Yoga / Movement</t>
  </si>
  <si>
    <t>11am—12:30pm</t>
  </si>
  <si>
    <t>This is a combination of ancient Yogic practices, including a full Shamanic journey during shavasana, to energize and rejuvenate body and mind, and connect with higher consciousness</t>
  </si>
  <si>
    <t>Munay</t>
  </si>
  <si>
    <t>Kundalini Yoga for Digestion, Elimination &amp; Metabolism with Bel</t>
  </si>
  <si>
    <t>Tuesdays</t>
  </si>
  <si>
    <t>5:30pm—7pm</t>
  </si>
  <si>
    <t>Pitanga Cultural Centre</t>
  </si>
  <si>
    <t>Gentle yet powerful, these sessions work deeply on the nervous and glandular systems and open space for self-awareness. Each week, we explore a different Kriya, while the month’s focus stays on digestion, elimination, and metabolism.</t>
  </si>
  <si>
    <t>Bel</t>
  </si>
  <si>
    <t>(+91) 2622403, (+91) 9443902403 (WA)</t>
  </si>
  <si>
    <t>info@pitanga.in</t>
  </si>
  <si>
    <t>Digital contributions (FS/Aurocard/UPI)</t>
  </si>
  <si>
    <t>Neurographica®—Art Therapy for adults</t>
  </si>
  <si>
    <t>Art Therapy</t>
  </si>
  <si>
    <t>Weekly (By Registration)</t>
  </si>
  <si>
    <t>3pm—5pm</t>
  </si>
  <si>
    <t>Gala</t>
  </si>
  <si>
    <t>Adults (Prior Registration required)</t>
  </si>
  <si>
    <t>Neurographica®—Art Therapy for families</t>
  </si>
  <si>
    <t>Families (Prior Registration required)</t>
  </si>
  <si>
    <t>Teen Yoga</t>
  </si>
  <si>
    <t>Weekly (Ongoing Educational Program)</t>
  </si>
  <si>
    <t>Monday, Wednesday</t>
  </si>
  <si>
    <t>4pm—5:15pm</t>
  </si>
  <si>
    <t>Lisbeth, Florina</t>
  </si>
  <si>
    <t>Teenagers from AV schools (Parents need to register children with Lisbeth)</t>
  </si>
  <si>
    <t>Asanas mixed level</t>
  </si>
  <si>
    <t>Monday, Wednesday, Saturday</t>
  </si>
  <si>
    <t>7:30am–9am</t>
  </si>
  <si>
    <t>Rachel</t>
  </si>
  <si>
    <t>Yoga Therapy</t>
  </si>
  <si>
    <t>8am—9:30am</t>
  </si>
  <si>
    <t>Listening Within</t>
  </si>
  <si>
    <t>Session</t>
  </si>
  <si>
    <t>4pm—5pm</t>
  </si>
  <si>
    <t>Mike</t>
  </si>
  <si>
    <t>Iyengar Yoga</t>
  </si>
  <si>
    <t>Monday, Wednesday, Friday, Saturday, Sunday</t>
  </si>
  <si>
    <t>Varies (5pm—6:30pm or 6:45am—8am)</t>
  </si>
  <si>
    <t>Olesya</t>
  </si>
  <si>
    <t>Asanas, Self-Practice</t>
  </si>
  <si>
    <t>7:30am– 8:45am</t>
  </si>
  <si>
    <t>Yoga: Restore &amp; Relax</t>
  </si>
  <si>
    <t>Tuesday &amp; Friday</t>
  </si>
  <si>
    <t>4pm— 5:30pm (Tues) / 5:30pm—7pm (Fri)</t>
  </si>
  <si>
    <t>Florina</t>
  </si>
  <si>
    <t>Kundalini Yoga for beginners Digestion, Elimination &amp; Metabolism</t>
  </si>
  <si>
    <t>Vinyasa Flow Yoga</t>
  </si>
  <si>
    <t>Thursday &amp; Saturday</t>
  </si>
  <si>
    <t>Prana Kriya</t>
  </si>
  <si>
    <t>7:30am—9am</t>
  </si>
  <si>
    <t>Aviva Exercise for women only</t>
  </si>
  <si>
    <t>Exercise Class</t>
  </si>
  <si>
    <t>4:30pm— 5:30pm</t>
  </si>
  <si>
    <t>Suriya-gandhi</t>
  </si>
  <si>
    <t>Women only</t>
  </si>
  <si>
    <t>Pranayama, for former “The Art of Living” course participants</t>
  </si>
  <si>
    <t>Pranayama Class</t>
  </si>
  <si>
    <t>6:45am—8am</t>
  </si>
  <si>
    <t>François &amp; Namrita</t>
  </si>
  <si>
    <t>Former “The Art of Living” course participants</t>
  </si>
  <si>
    <t>Somatic Resourcing Movement Ritual</t>
  </si>
  <si>
    <t>Movement / Therapy</t>
  </si>
  <si>
    <t>3pm—4:45pm</t>
  </si>
  <si>
    <t>Nikethana</t>
  </si>
  <si>
    <t>Readings of The Life Divine</t>
  </si>
  <si>
    <t>Reading</t>
  </si>
  <si>
    <t>Balvinder</t>
  </si>
  <si>
    <t>Feldenkrais</t>
  </si>
  <si>
    <t>Movement Class</t>
  </si>
  <si>
    <t>5:15pm— 6.15pm</t>
  </si>
  <si>
    <t>Shari</t>
  </si>
  <si>
    <t>Breathing &amp; Mudras</t>
  </si>
  <si>
    <t>Class</t>
  </si>
  <si>
    <t>Asanas intermediate level</t>
  </si>
  <si>
    <t>9am–10:30am</t>
  </si>
  <si>
    <t>Intermediate level</t>
  </si>
  <si>
    <t>Truth Based Relationships, practical sessions</t>
  </si>
  <si>
    <t>2:30pm— 4:30pm</t>
  </si>
  <si>
    <t>Juan Andres</t>
  </si>
  <si>
    <t>Nejang Tibetan Yoga</t>
  </si>
  <si>
    <t>Weekly (Prior Registration required)</t>
  </si>
  <si>
    <t>Nejang is a therapeutic form of Tibetan Yoga rooted in the medical science of Sowa Rigpa and the Kalachakra tradition.</t>
  </si>
  <si>
    <t>Prior Registration required</t>
  </si>
  <si>
    <t>Yogasana, Pranayama &amp; Relaxation with Mani</t>
  </si>
  <si>
    <t>9:15am— 10:15am (M/W), 5—6pm (Sat)</t>
  </si>
  <si>
    <t>Vérité</t>
  </si>
  <si>
    <t>A complete yoga session including asana, kriya, pranayama, chanting &amp; relaxation to activate energy &amp; begin the day in peace &amp; harmony.</t>
  </si>
  <si>
    <t>Mani</t>
  </si>
  <si>
    <t>(+91) 9363624083, 0413 2622045, 2622606</t>
  </si>
  <si>
    <t>programming@verite.in</t>
  </si>
  <si>
    <t>Suitable for all, including beginners. (No class Oct 20)</t>
  </si>
  <si>
    <t>www.verite.in</t>
  </si>
  <si>
    <t>Shamanic Breathwork &amp; Free Movement: Clarity &amp; Peace with Lakshmi</t>
  </si>
  <si>
    <t>Movement / Meditation</t>
  </si>
  <si>
    <t>5—6pm</t>
  </si>
  <si>
    <t>Shamanic breathwork is a powerful ancient practice that aims to free the mind, release energy blockages, and revitalize the entire being.</t>
  </si>
  <si>
    <t>Lakshmi</t>
  </si>
  <si>
    <t>Deep Sound Bath: Frequencies for Deep Relaxation with Satyayuga</t>
  </si>
  <si>
    <t>Monday, Thursday, Saturday</t>
  </si>
  <si>
    <t>Based on the ancient art of using vibration to awaken the inner being and align the body, heart and soul to the frequency of the universe.</t>
  </si>
  <si>
    <t>Satyayuga</t>
  </si>
  <si>
    <t>Yoga to Improve Flexibility: Stretch and Strengthen with Kalidas</t>
  </si>
  <si>
    <t>9:15am— 10:15am</t>
  </si>
  <si>
    <t>An asana sequence designed to improve the range of motion of the joints &amp; mobility of the muscles.</t>
  </si>
  <si>
    <t>Kalidas</t>
  </si>
  <si>
    <t>(No class Oct 21)</t>
  </si>
  <si>
    <t>Dance of the Chakras: Movement for Health &amp; Clarity with Lakshmi</t>
  </si>
  <si>
    <t>5—6:30pm</t>
  </si>
  <si>
    <t>A vibrant movement journey, combining rhythmic motion, intentional breathing, and energy alignment to activate and balance the seven chakras.</t>
  </si>
  <si>
    <t>No dance experience is required</t>
  </si>
  <si>
    <t>Hatha Vinyasa Yoga: Balance Body, Mind &amp; Emotions with Andres</t>
  </si>
  <si>
    <t>Wednesday &amp; Friday</t>
  </si>
  <si>
    <t>Participants are guided towards a tension-free state of well-being, through postures (asanas), breathing techniques (pranayama), activation of the energetic centers (chakras), and relaxation techniques (yoga nidra, savasana).</t>
  </si>
  <si>
    <t>Andres</t>
  </si>
  <si>
    <t>(No class Oct 1 &amp; 3)</t>
  </si>
  <si>
    <t>Taralaya Flow Dance: Move in Freedom with Vera</t>
  </si>
  <si>
    <t>Taralaya (a hybrid of two Sanskrit words, Taranga and Laya) means “flowing rhythm”. Taralaya Flow Dance offers a space for free movement exploration, with gentle guidance at the beginning and the end of the session.</t>
  </si>
  <si>
    <t>Vera</t>
  </si>
  <si>
    <t>Prana Vidhya: Energy to Insight with Kalidas</t>
  </si>
  <si>
    <t>A yogic practice to liberate energy &amp; use it for healing. Prana is not only about physical vitality; it is the force that</t>
  </si>
  <si>
    <t>Open Heart Space Meditation with Samrat</t>
  </si>
  <si>
    <t>Meditation / Chanting</t>
  </si>
  <si>
    <t>Simple practice including meditation, mantra chanting, yoga, and interactive dialogue to become aware of reality as it is, without judgment, interpretation or reaction.</t>
  </si>
  <si>
    <t>Samrat</t>
  </si>
  <si>
    <t>Yoga for Energy Activation with Mani</t>
  </si>
  <si>
    <t>7:30am— 8:30am</t>
  </si>
  <si>
    <t>Suitable for all, including beginners.</t>
  </si>
  <si>
    <t>Free Flow Dance &amp; Movement: Expressing Freedom with Vega</t>
  </si>
  <si>
    <t>The body can be a great guide to the soul, enabling us to connect and reveal ourselves through movement. Join us and give your body an opportunity to flow in its rhythm and express itself freely.</t>
  </si>
  <si>
    <t>Vega</t>
  </si>
  <si>
    <t>(No class Oct 3)</t>
  </si>
  <si>
    <t>Balancing asanas: Focus and Flow with Kalidas</t>
  </si>
  <si>
    <t>Challenge your stability, focus, &amp; concentration, improve coordination, strengthen muscles, &amp; enhance overall body awareness.</t>
  </si>
  <si>
    <t>(No Class Oct 18)</t>
  </si>
  <si>
    <t>Somatic Resourcing Movement Ritual with Nikethana</t>
  </si>
  <si>
    <t>This experiential session will explore a 14-step body-based resource practice to help you self-regulate, co-regulate, and reclaim your body’s power to release stress, anxiety, and emotional overwhelm.</t>
  </si>
  <si>
    <t>Basic Hatha Yoga with Ivana Frousova</t>
  </si>
  <si>
    <t>4:30—5:30pm</t>
  </si>
  <si>
    <t>Arka</t>
  </si>
  <si>
    <t>This session offers traditional postures with attention to breathing, strength, flexibility, and relaxation. Practiced at a gentle, mindful pace, it is designed for all adults.</t>
  </si>
  <si>
    <t>Ivana Frousova</t>
  </si>
  <si>
    <t>arka@auroville.org.in</t>
  </si>
  <si>
    <t>All adults, perfect for beginners</t>
  </si>
  <si>
    <t>English Conversation</t>
  </si>
  <si>
    <t>Conversation Class</t>
  </si>
  <si>
    <t>Monday (1st, 3rd, 5th week)</t>
  </si>
  <si>
    <t>Evening conversation sessions are a chance for all to practice speaking with native speakers offering their time.</t>
  </si>
  <si>
    <t>Isabelle</t>
  </si>
  <si>
    <t>(+91) 9843030355 (WA)</t>
  </si>
  <si>
    <t>info@aurovillelanguage.org</t>
  </si>
  <si>
    <t>French Conversation</t>
  </si>
  <si>
    <t>Monday (2nd, 4th week)</t>
  </si>
  <si>
    <t>Coco and Gaspard</t>
  </si>
  <si>
    <t>Tamil conversation with Abirami</t>
  </si>
  <si>
    <t>5–6pm</t>
  </si>
  <si>
    <t>Abirami</t>
  </si>
  <si>
    <t>Sanskrit chanting with Remesh</t>
  </si>
  <si>
    <t>5:30—6:30pm</t>
  </si>
  <si>
    <t>Remesh</t>
  </si>
  <si>
    <t>English conversation with Alex</t>
  </si>
  <si>
    <t>Alex</t>
  </si>
  <si>
    <t>Intermediate English with Alex (Course sessions)</t>
  </si>
  <si>
    <t>Language Class</t>
  </si>
  <si>
    <t>Tuesdays, Thursdays, Fridays (Course duration: 8 weeks)</t>
  </si>
  <si>
    <t>5:30–6:30pm</t>
  </si>
  <si>
    <t>Structured lessons on grammar, vocabulary, and practical skills (Tuesdays); Relaxed group conversations—open to all (Thursdays); Learner-driven sessions (Fridays).</t>
  </si>
  <si>
    <t>Lower-intermediate (B1) learners. Spaces are limited—register soon. (Starts Nov 4)</t>
  </si>
  <si>
    <t>Pre and Intermediate speaking &amp; communication with Rupam</t>
  </si>
  <si>
    <t>Monthly Cycle</t>
  </si>
  <si>
    <t>Tuesday &amp; Thursday</t>
  </si>
  <si>
    <t>10:30–11:30am</t>
  </si>
  <si>
    <t>Rupam</t>
  </si>
  <si>
    <t>Beginner French with Jean-François</t>
  </si>
  <si>
    <t>Language Course</t>
  </si>
  <si>
    <t>2-month Cycle (Started Aug 11)</t>
  </si>
  <si>
    <t>2:30–3:30pm</t>
  </si>
  <si>
    <t>This 16-hour, 2-month course, is ideal for those who want to discover the French language.</t>
  </si>
  <si>
    <t>Jean-François</t>
  </si>
  <si>
    <t>Intermediate French with Jean-François</t>
  </si>
  <si>
    <t>2-month Cycle (Started Aug 12)</t>
  </si>
  <si>
    <t>This 16-hour, 2-month course, is ideal for those who possess a little knowledge of French but are not yet comfortable conversing.</t>
  </si>
  <si>
    <t>Advanced Korean classes</t>
  </si>
  <si>
    <t>Monthly Cycle (Started Aug 13)</t>
  </si>
  <si>
    <t>11am–12pm</t>
  </si>
  <si>
    <t>Mint</t>
  </si>
  <si>
    <t>Basic level required. Open to registrations.</t>
  </si>
  <si>
    <t>Eco Film Club: Tour of Sadhana Forest</t>
  </si>
  <si>
    <t>16:30 (4:30pm)</t>
  </si>
  <si>
    <t>Tour of Sadhana Forest and an update of our most recent work!</t>
  </si>
  <si>
    <t>Families and children are welcome!</t>
  </si>
  <si>
    <t>Eco Film Club: Movie Screening</t>
  </si>
  <si>
    <t>Movie Screening</t>
  </si>
  <si>
    <t>18:30 (6:30pm)</t>
  </si>
  <si>
    <t>Eco Film Club begins with “previews” of short Sadhana Forest films</t>
  </si>
  <si>
    <t>Auroville TO PONDICHERRY Trip 1</t>
  </si>
  <si>
    <t>Transport Service</t>
  </si>
  <si>
    <t>7:00 (Svaram Musical Center)</t>
  </si>
  <si>
    <t>Svaram Musical Center to Ashram Dining Hall</t>
  </si>
  <si>
    <t>avbus@auroville.org.in</t>
  </si>
  <si>
    <t>Auroville TO PONDICHERRY Trip 2</t>
  </si>
  <si>
    <t>8:50 (Svaram Musical Center)</t>
  </si>
  <si>
    <t>Auroville TO PONDICHERRY Trip 3</t>
  </si>
  <si>
    <t>14:50 (2:50pm, Svaram Musical Center)</t>
  </si>
  <si>
    <t>Ongoing</t>
  </si>
  <si>
    <t>Unspecified</t>
  </si>
  <si>
    <t>Meditations on Savitri: A painting exhibition</t>
  </si>
  <si>
    <t>9am—5pm</t>
  </si>
  <si>
    <t>Picture Gallery, Savitri Bhavan</t>
  </si>
  <si>
    <t>A painting exhibition of 472 paintings created by the Mother with Huta from 1961—67 is on display in the picture gallery</t>
  </si>
  <si>
    <t>Margrit &amp; Dhanalakshmi</t>
  </si>
  <si>
    <t>A Bilingual Exhibition on ‘Sri Aurobindo: A life-sketch in photographs’</t>
  </si>
  <si>
    <t>Upper Corridor, Savitri Bhavan</t>
  </si>
  <si>
    <t>with texts both in English and Tamil</t>
  </si>
  <si>
    <t>Glimpses of the Mother: Photographs and texts</t>
  </si>
  <si>
    <t>Square Hall, Savitri Bhavan</t>
  </si>
  <si>
    <t>Photographs and texts in the Square Hall</t>
  </si>
  <si>
    <t>Tibetan Pavilion: The Library</t>
  </si>
  <si>
    <t>Library Access</t>
  </si>
  <si>
    <t>Monday and Tuesday</t>
  </si>
  <si>
    <t>9:30am—12:30pm</t>
  </si>
  <si>
    <t>After a trail of opening of the Library in Pavilion of Tibetan Culture to the public we are now open on Monday and Tuesday, 9:30am—12:30pm</t>
  </si>
  <si>
    <t>Dance with Daniel: Open Style</t>
  </si>
  <si>
    <t>4:30—6pm</t>
  </si>
  <si>
    <t>CRIPA Small Hall</t>
  </si>
  <si>
    <t>Daniel Lee</t>
  </si>
  <si>
    <t>(+97) 2557732584</t>
  </si>
  <si>
    <t>Dance with Daniel: Hiphop</t>
  </si>
  <si>
    <t>Harmony Hall, Bharat Nivas</t>
  </si>
  <si>
    <t>Salsa class by Mani</t>
  </si>
  <si>
    <t>New Creation dance studio</t>
  </si>
  <si>
    <t>Choose your Dance: Bachata, Kizomba, Salsa, Tango</t>
  </si>
  <si>
    <t>(+91) 86376 33696</t>
  </si>
  <si>
    <t>Salsa Workshop by Mani</t>
  </si>
  <si>
    <t>Dance Workshop</t>
  </si>
  <si>
    <t>New Creation dance studio (@Bakisata_dance)</t>
  </si>
  <si>
    <t>Tango Beginner Class by Mani</t>
  </si>
  <si>
    <t>6:30–7:30pm</t>
  </si>
  <si>
    <t>CRIPA</t>
  </si>
  <si>
    <t>Tango Intermediate Class by Mani</t>
  </si>
  <si>
    <t>7:30–8:30pm</t>
  </si>
  <si>
    <t>Tango Workshop by Mani</t>
  </si>
  <si>
    <t>Tango Open practice by Mani</t>
  </si>
  <si>
    <t>Dance Practice</t>
  </si>
  <si>
    <t>New Regular Sessions of Dance for Children: Toddlers’ dance initiation</t>
  </si>
  <si>
    <t>New Creation Dance Studio!</t>
  </si>
  <si>
    <t>from 4 to 5 years old, every Monday, 2:30pm</t>
  </si>
  <si>
    <t>Fleur</t>
  </si>
  <si>
    <t>(+91) 9600225764</t>
  </si>
  <si>
    <t>Toddlers from 4 to 5 years old</t>
  </si>
  <si>
    <t>New Regular Sessions of Dance for Children: Children’s ballet class</t>
  </si>
  <si>
    <t>from 6 to 8 years old, every Saturday, 9:15am</t>
  </si>
  <si>
    <t>Children from 6 to 8 years old</t>
  </si>
  <si>
    <t>New Regular Sessions of Dance for Children: Tweens’ ballet class</t>
  </si>
  <si>
    <t>from 10 to 12 years old, every Saturday, 10:30am</t>
  </si>
  <si>
    <t>Tweens from 10 to 12 years old</t>
  </si>
  <si>
    <t>Auroville Tango: Introduction to Tango</t>
  </si>
  <si>
    <t>Aurevan</t>
  </si>
  <si>
    <t>(+91) 9821166082</t>
  </si>
  <si>
    <t>tango@auroville.org.in</t>
  </si>
  <si>
    <t>No partner required. Bring socks or dance shoes.</t>
  </si>
  <si>
    <t>Auroville Tango: Practica</t>
  </si>
  <si>
    <t>Auroville Tango: OpenSource</t>
  </si>
  <si>
    <t>Dance Session</t>
  </si>
  <si>
    <t>Auroville Tango: Bi-monthly Milongas</t>
  </si>
  <si>
    <t>Dance Event</t>
  </si>
  <si>
    <t>Bi-monthly</t>
  </si>
  <si>
    <t>Weekly Art Workshops &amp; Sessions: Watercolour Painting Workshop by Sathya</t>
  </si>
  <si>
    <t>5—7pm</t>
  </si>
  <si>
    <t>CREEVA Art Studio, Creativity</t>
  </si>
  <si>
    <t>Sathya</t>
  </si>
  <si>
    <t>(+91) 9486145072</t>
  </si>
  <si>
    <t>sathyacolour@auroville.org.in</t>
  </si>
  <si>
    <t>Weekly Art Workshops &amp; Sessions: Life Model Drawing Session</t>
  </si>
  <si>
    <t>Art Session</t>
  </si>
  <si>
    <t>Open Studio</t>
  </si>
  <si>
    <t>Every day</t>
  </si>
  <si>
    <t>A space for everyone to explore their artistic potential</t>
  </si>
  <si>
    <t>Abi</t>
  </si>
  <si>
    <t>(+91) 82206 12413</t>
  </si>
  <si>
    <t>Mindfulness Based Stress Reduction (MBSR)</t>
  </si>
  <si>
    <t>Course / Meditation</t>
  </si>
  <si>
    <t>Starting 6 October (8 week course)</t>
  </si>
  <si>
    <t>Radiance, Aurodam</t>
  </si>
  <si>
    <t>Mindfulness Based Stress Reduction (MBSR) is a secular, evidence based course which draws from practices of vipassana and zen.</t>
  </si>
  <si>
    <t>(+91) 7094753054 (WA)</t>
  </si>
  <si>
    <t>Booking is required. All are welcome.</t>
  </si>
  <si>
    <t>Intensive 2-Week French Course</t>
  </si>
  <si>
    <t>Starting October</t>
  </si>
  <si>
    <t>Monday, Tuesday, Wednesday, Thursday, Friday</t>
  </si>
  <si>
    <t>11am—1pm</t>
  </si>
  <si>
    <t>This program is designed for those who wish to rapidly improve their spoken French through daily practice and guidance.</t>
  </si>
  <si>
    <t>(+91) 9843030355 (WA), 0413 2623661, 2622467</t>
  </si>
  <si>
    <t>Spots are very limited—only five (5) participants will be admitted—so early registration is highly recommended.</t>
  </si>
  <si>
    <t>Creative Writing with Rupam</t>
  </si>
  <si>
    <t>Monthly Cycle (Start date TBC)</t>
  </si>
  <si>
    <t>Monday &amp; Wednesday</t>
  </si>
  <si>
    <t>9:30–10:30am</t>
  </si>
  <si>
    <t>Beginner English with Ashwini</t>
  </si>
  <si>
    <t>Wednesday &amp; Thursday</t>
  </si>
  <si>
    <t>Ashwini</t>
  </si>
  <si>
    <t>English For Kids with Ashwini</t>
  </si>
  <si>
    <t>Kids</t>
  </si>
  <si>
    <t>Beginner French with AuroAsha</t>
  </si>
  <si>
    <t>Monthly Cycle (Starting October)</t>
  </si>
  <si>
    <t>3–4:30pm</t>
  </si>
  <si>
    <t>AuroAsha</t>
  </si>
  <si>
    <t>Beginner Korean language classes</t>
  </si>
  <si>
    <t>Monthly Cycle (Open for registration, paused start)</t>
  </si>
  <si>
    <t>3–4pm</t>
  </si>
  <si>
    <t>Mihong</t>
  </si>
  <si>
    <t>Open to registrations.</t>
  </si>
  <si>
    <t>Aarambham Learning Space for kids of guests, volunteers and newcomers</t>
  </si>
  <si>
    <t>Learning Space / Integration</t>
  </si>
  <si>
    <t>Drop off: 8:15 to 8:45 am; Pick up: 3:30 to 4:40 pm</t>
  </si>
  <si>
    <t>Aarambham Learning Space (former TLC base camp, near Dehashakti)</t>
  </si>
  <si>
    <t>Learning Space is an initiative of SAIIER, offering a space for orientation, integration, and exploration of Auroville before school enrollment.</t>
  </si>
  <si>
    <t>Alexey</t>
  </si>
  <si>
    <t>(+91) 83002 88303 (WA messages)</t>
  </si>
  <si>
    <t>aarambham@auroville.org.in</t>
  </si>
  <si>
    <t>Standard Auroville schools fees apply.</t>
  </si>
  <si>
    <t>Children of guests, volunteers, and newcomers of Auroville (age 6 to 12). Appointment for admission/visit required.</t>
  </si>
  <si>
    <t>Woga® (Yoga in Water) Class with Tamara</t>
  </si>
  <si>
    <t>Quiet Healing Center</t>
  </si>
  <si>
    <t>Yoga in water is based on classic yoga poses and stretches, modified for standing in pool water, which is waist-to-chest high.</t>
  </si>
  <si>
    <t>Tamara</t>
  </si>
  <si>
    <t>(+91) 9488084966</t>
  </si>
  <si>
    <t>quiet@auroville.org.in</t>
  </si>
  <si>
    <t>No previous experience required (no need to know how to swim!).</t>
  </si>
  <si>
    <t>Eco Film Club: Planet Earth: Mountains</t>
  </si>
  <si>
    <t>Movie Screening / Talk</t>
  </si>
  <si>
    <t>6:30pm (film starts)</t>
  </si>
  <si>
    <t>Mountains are the most prominent products of the immense forces which shape the living planet: tectonic drift, volcanic activity and erosion by wind, water, frost and precipitation. We see how wildlife adapts to the harsh, often extreme conditions in various types of mountain ranges.</t>
  </si>
  <si>
    <t>Digital Persona: Book Launch</t>
  </si>
  <si>
    <t>Book Launch</t>
  </si>
  <si>
    <t>3—4pm</t>
  </si>
  <si>
    <t>Verité Hall</t>
  </si>
  <si>
    <t>Celebration of Durga Puja</t>
  </si>
  <si>
    <t>Celebration / Dance</t>
  </si>
  <si>
    <t>SAWCHU</t>
  </si>
  <si>
    <t>You are warmly invited to join us in the celebration of Durga Puja—offered in the spirit of the Mother and Sri Aurobindo’s vision of Durga and the Divine Mother. The evening will conclude with an open, communal dance with Dhaka and Dhunuchi, where all are welcome to join.</t>
  </si>
  <si>
    <t>Varsha</t>
  </si>
  <si>
    <t>(+91) 9370026907</t>
  </si>
  <si>
    <t>CO-CREATING THE DREAM: The Art of Deep Listening</t>
  </si>
  <si>
    <t>9:15am—12pm</t>
  </si>
  <si>
    <t>This workshop explores deepening our capacity to listen well to information, emotions, context, and the unspoken. It builds capacity to listen to communication we might disagree with while remaining curious, peaceful and centered.</t>
  </si>
  <si>
    <t>Kaia, Munay and Radhika</t>
  </si>
  <si>
    <t>Bring a notebook/ journal and pen.</t>
  </si>
  <si>
    <t>Eternal Dhrupad Workshop</t>
  </si>
  <si>
    <t>9:30am—5pm</t>
  </si>
  <si>
    <t>Svaram Sound Garden</t>
  </si>
  <si>
    <t>This immersive experience, facilitated by Dhrupad vocalist Shilpa Shanker Narain, is based on the intricate and subtle knowledge of Dhrupad, India’s oldest form of music, with its roots in Vedic saam-gaan, aimed at activating voice awareness, creative flow and self-discovery.</t>
  </si>
  <si>
    <t>Aurelio (for SVARAM Team)</t>
  </si>
  <si>
    <t>https://svaram.org/eternal-dhrupad/</t>
  </si>
  <si>
    <t>Hymn to the Earth (Bhūmi Sūkta) from the Atharva Veda—Invitation to a collective sharing</t>
  </si>
  <si>
    <t>Collective Sharing</t>
  </si>
  <si>
    <t>The Hymn to the Earth with 63 verses in different poetic metres occurs in Book 12 of the Atharva Veda and is certainly the most extensive and most ancient work of its kind.</t>
  </si>
  <si>
    <t>Surrender in Integral Yoga / The Mother: A New Birth</t>
  </si>
  <si>
    <t>Talk / Video</t>
  </si>
  <si>
    <t>4—5pm</t>
  </si>
  <si>
    <t>A powerpoint presentation by Nethya and The Mother: A New Birth—Interview with Surendranath Jauhar—A recorded video film.</t>
  </si>
  <si>
    <t>Fully Booked</t>
  </si>
  <si>
    <t>Book Event</t>
  </si>
  <si>
    <t>10—11am</t>
  </si>
  <si>
    <t>Auroville Library</t>
  </si>
  <si>
    <t>Dear bookworms—children, parents, educators, artists of life and lifelong learners, you are warmly invited to a very special session—choose and take home your favorite (one, two, or at most three) bookmarks from 40+ cute, zen, and playful ones, and possibly make your own on handmade paper.</t>
  </si>
  <si>
    <t>Anandi</t>
  </si>
  <si>
    <t>Free entry. Voluntary contribution.</t>
  </si>
  <si>
    <t>Children, parents, educators, artists of life and lifelong learners</t>
  </si>
  <si>
    <t>Creative Exercises for Expressive Exploration (Introduction to Art Therapy)</t>
  </si>
  <si>
    <t>10am—12pm</t>
  </si>
  <si>
    <t>It Matters, Auroville Main Road</t>
  </si>
  <si>
    <t>Sandra</t>
  </si>
  <si>
    <t>(+91) 9344087925 (WA)</t>
  </si>
  <si>
    <t>itmatters@auroville.org.in</t>
  </si>
  <si>
    <t>Contribution Based</t>
  </si>
  <si>
    <t>Pre-registration required</t>
  </si>
  <si>
    <t>Technosophy: The Nature of Technique—Ellul’s “The Technological System”</t>
  </si>
  <si>
    <t>Talk / Session</t>
  </si>
  <si>
    <t>2—3pm</t>
  </si>
  <si>
    <t>Daniel Raju</t>
  </si>
  <si>
    <t>Kolam Workshop</t>
  </si>
  <si>
    <t>2—4pm</t>
  </si>
  <si>
    <t>Inside India</t>
  </si>
  <si>
    <t>Join us to learn and experience the traditional South Indian art of Kolam, where intricate patterns are created with rice flour, blending creativity, culture, and mindfulness.</t>
  </si>
  <si>
    <t>Shaheen</t>
  </si>
  <si>
    <t>tours@insideindiaauroville.com</t>
  </si>
  <si>
    <t>Open to all skill levels.</t>
  </si>
  <si>
    <t>Introduction to Ayurveda and its Lifestyle with Dr. Geeta</t>
  </si>
  <si>
    <t>Ayurveda, the ancient Indian medical system, offers simple lifestyle practices for self-care and healing. Learn the principles and practices of diet, exercise, sleep and relaxation which help to detoxify, rejuvenate, and restore balance to body, mind and spirit, according to your own nature.</t>
  </si>
  <si>
    <t>Dr Geeta</t>
  </si>
  <si>
    <t>The Art of Deep Listening with Radhika, Gaia &amp; Giovanni</t>
  </si>
  <si>
    <t>9:15am—12:15pm</t>
  </si>
  <si>
    <t>This workshop explores deepening our capacity to listen well to information, emotions, context, and the unspoken.</t>
  </si>
  <si>
    <t>Radhika, Gaia &amp; Giovanni</t>
  </si>
  <si>
    <t>Social / Meal</t>
  </si>
  <si>
    <t>It’s a fun evening full of tasty plant-based dishes, community spirit, and new friends!</t>
  </si>
  <si>
    <t>Bring a vegan dish to share, or just bring yourself. Substance free space.</t>
  </si>
  <si>
    <t>Vipassana meditation</t>
  </si>
  <si>
    <t>8:30am—3pm</t>
  </si>
  <si>
    <t>1 Vibrance, Vikas Radial rd, Auroville, 605101</t>
  </si>
  <si>
    <t>monthly 1 day Vipassana meditation course for old students only (those who have completed at-least one 10-day course as taught by SN Goenka).</t>
  </si>
  <si>
    <t>Laure</t>
  </si>
  <si>
    <t>(+91) 9740322447 (WA)</t>
  </si>
  <si>
    <t>vallari@gmail.com</t>
  </si>
  <si>
    <t>Old students only (must have completed at least one 10-day course by SN Goenka).</t>
  </si>
  <si>
    <t>Music Performance</t>
  </si>
  <si>
    <t>8—9pm</t>
  </si>
  <si>
    <t>Arpana and Matrimandir invite you all to a mystical evening of music on the brightest full moon night of the year—Sharad Poornima.</t>
  </si>
  <si>
    <t>Arpana and Matrimandir</t>
  </si>
  <si>
    <t>Meditations on Savitri, Book 10 (Film)</t>
  </si>
  <si>
    <t>Movie Screening / Meditation</t>
  </si>
  <si>
    <t>A meditative film made of passages from Sri Aurobindo’s epic poem SAVITRI—A Legend and a Symbol, read by The Mother, accompanied by Her own organ music and illustrated with paintings by Huta. Duration: 41min.</t>
  </si>
  <si>
    <t>Margrit</t>
  </si>
  <si>
    <t>Gathering / Meditation</t>
  </si>
  <si>
    <t>7:15—8:15pm</t>
  </si>
  <si>
    <t>In front of Sri Aurobindo’s statue</t>
  </si>
  <si>
    <t>Sitaare Zameen Par (Stars on Earth)</t>
  </si>
  <si>
    <t>Cinema Paradiso, MMC Auditorium</t>
  </si>
  <si>
    <t>Sports-Drama, 155mins, Hindi w/ English subtitles, Rated: UA (PG-13)</t>
  </si>
  <si>
    <t>Nina</t>
  </si>
  <si>
    <t>mmcauditorium@auroville.org.in</t>
  </si>
  <si>
    <t>Recurring contribution suggested</t>
  </si>
  <si>
    <t>Training Program on Ferrocement</t>
  </si>
  <si>
    <t>Training Program</t>
  </si>
  <si>
    <t>6—9 October</t>
  </si>
  <si>
    <t>Monday, Tuesday, Wednesday, Thursday</t>
  </si>
  <si>
    <t>Auroville Earth Institute</t>
  </si>
  <si>
    <t>This course will cover the various applications of ferrocement through lectures, presentations, and, most importantly, hands-on demonstrations.</t>
  </si>
  <si>
    <t>T. Ayyappan</t>
  </si>
  <si>
    <t>training@earth-auroville.com</t>
  </si>
  <si>
    <t>www.earth-auroville.com</t>
  </si>
  <si>
    <t>Watsu® 2 with Dariya</t>
  </si>
  <si>
    <t>Therapy Workshop</t>
  </si>
  <si>
    <t>7—12 October</t>
  </si>
  <si>
    <t xml:space="preserve"> Tuesday, Wednesday, Thursday, Friday, Saturday,Sunday</t>
  </si>
  <si>
    <t>8:45am—6pm</t>
  </si>
  <si>
    <t>Watsu 2 expands the Transition Flow taught in Watsu 1. You will learn additional movements and bodywork for each position.</t>
  </si>
  <si>
    <t>Dariya</t>
  </si>
  <si>
    <t>Prerequisites: Watsu 1</t>
  </si>
  <si>
    <t>9:30am—12:30pm, 2—5pm</t>
  </si>
  <si>
    <t>Reconnect Within—Mind, Body &amp; Spirit. Restore Your Flow. The body keeps the score, but it also holds the wisdom to heal.</t>
  </si>
  <si>
    <t>Dr Aditya Varma</t>
  </si>
  <si>
    <t>Vanishing Point</t>
  </si>
  <si>
    <t>RoadTrip-Action, 99mins, English w/ English subtitles, Rated: R</t>
  </si>
  <si>
    <t>Oliver Twist</t>
  </si>
  <si>
    <t>Crime-Drama, 130mins, English w/ English subtitles, Rated: PG-13</t>
  </si>
  <si>
    <t>Poetic Expression</t>
  </si>
  <si>
    <t>Gather for a poetic expression in design—a living, visual embodiment of “Invitation”, a poem by Sri Aurobindo (1908-09).</t>
  </si>
  <si>
    <t>Come prepared for a comfortable walk in the park.</t>
  </si>
  <si>
    <t>Celebration</t>
  </si>
  <si>
    <t>9am—1pm</t>
  </si>
  <si>
    <t>Ernest Cole: Lost and Found</t>
  </si>
  <si>
    <t>Documentary-Biography, 105mins, English w/ English subtitles, Rated: NR (PG-13)</t>
  </si>
  <si>
    <t>Living with Savitri</t>
  </si>
  <si>
    <t>a recorded video of Dr. Prema Nandakumar.</t>
  </si>
  <si>
    <t>NAOSHIMA, AN ISLAND ALIVE WITH ART</t>
  </si>
  <si>
    <t>Talk / Documentary Screening</t>
  </si>
  <si>
    <t>A talk by Maud and documentary screening... followed by a screening of “In the hollows of the inland sea” a documentary by Jean-Michel Vennemani: 53min in French with English subtitles, 2015.</t>
  </si>
  <si>
    <t>Maud</t>
  </si>
  <si>
    <t>SALT and the Benefits of Correct Intake</t>
  </si>
  <si>
    <t>Presentation</t>
  </si>
  <si>
    <t>Learn the importance of correct salt intake and how to safely do it!!</t>
  </si>
  <si>
    <t>Mila</t>
  </si>
  <si>
    <t>0413 2622467 or 3509932</t>
  </si>
  <si>
    <t>tomatis@aurovillelan-guagelab.org</t>
  </si>
  <si>
    <t>Expresive Arts Therapy Workshop</t>
  </si>
  <si>
    <t>10—11 October</t>
  </si>
  <si>
    <t>Friday—Saturday</t>
  </si>
  <si>
    <t>10:30am—3:30pm</t>
  </si>
  <si>
    <t>Progress Hall</t>
  </si>
  <si>
    <t>A free 2-day workshop of exploring yourself through the arts.</t>
  </si>
  <si>
    <t>Monisha</t>
  </si>
  <si>
    <t>(+91) 9980992923</t>
  </si>
  <si>
    <t>Sign up for the 2 days you can do by scanning the QR code.</t>
  </si>
  <si>
    <t>Refuge in Auroville</t>
  </si>
  <si>
    <t>Pianist-composer Aman Mahajan presents Refuge in Auroville—a program of mostly existing Refuge compositions, along with a few new works, performed in formats ranging from solo piano to larger ensemble.</t>
  </si>
  <si>
    <t>Aman Mahajan</t>
  </si>
  <si>
    <t>Free event, contributions welcome</t>
  </si>
  <si>
    <t>Money &amp; Me Workshop</t>
  </si>
  <si>
    <t>9:30am—4pm</t>
  </si>
  <si>
    <t>Tibetan Pavilion</t>
  </si>
  <si>
    <t>Want to explore your relationship with money in a fun and interactive way? Join us for a day of games, sharing, and new insights!</t>
  </si>
  <si>
    <t>Jisung</t>
  </si>
  <si>
    <t>annaeus@youthlink.org.in</t>
  </si>
  <si>
    <t>https://forms.gle/JCTVRz8HAAJ8s3c8A</t>
  </si>
  <si>
    <t>From Garden Wisdom to Life Design, from Soil to Soul</t>
  </si>
  <si>
    <t>Morning Theory: 9am—12pm; Afternoon Practice: 4—5:30pm</t>
  </si>
  <si>
    <t>JOI—Anitya, Maloka Hall</t>
  </si>
  <si>
    <t>An Introduction to Permaculture &amp; Human Permaculture Workshop. Nature has spent 3.8 billion years perfecting the art of collaboration, resilience, and abundance.</t>
  </si>
  <si>
    <t>Camille</t>
  </si>
  <si>
    <t>(+33) 677793514 (WA)</t>
  </si>
  <si>
    <t>Free (AV, NV, volunteers); 250 INR contribution (guests)</t>
  </si>
  <si>
    <t>No experience needed. Join for one or both sessions.</t>
  </si>
  <si>
    <t>Yoga Workshop</t>
  </si>
  <si>
    <t>Internal Cleansing, Subtle Balance, Gentle Healing Nejang (Tibetan: གསན་བརྗོད་) is a therapeutic form of Tibetan Yoga rooted in the medical science of Sowa Rigpa and the Kalachakra tradition.</t>
  </si>
  <si>
    <t>Restorative Yoga</t>
  </si>
  <si>
    <t>9:15—11:15am</t>
  </si>
  <si>
    <t>Help the body to elicit the relaxation response. Gentle and breath coordinated movements help restore the body to its parasympathetic nervous system function.</t>
  </si>
  <si>
    <t>Face &amp; Eye Yoga</t>
  </si>
  <si>
    <t>2—4:30pm</t>
  </si>
  <si>
    <t>Learn simple self-massage techniques &amp; exercises to release tension in the facial area, stimulate blood circulation &amp; improve the efficiency of our sense organs, and tips on preventing eye damage caused by screen time.</t>
  </si>
  <si>
    <t>Sorry, Baby</t>
  </si>
  <si>
    <t>Comedy-Drama, 103 mins, English w/ English subtitles, Rated: R</t>
  </si>
  <si>
    <t>The 2nd Edition Green Ride: Cyclothon 2025</t>
  </si>
  <si>
    <t>Sports Event</t>
  </si>
  <si>
    <t>Starts @ Unspecified Time</t>
  </si>
  <si>
    <t>Starts @ Certitude Sports Ground; Ends @ Punjabi Dhaba, Auroville Junction, Moratandi Toll Gate</t>
  </si>
  <si>
    <t>Cyclothon 2025. Distance: 65kms for Elite &amp; Master: Men; 47kms for Master: Women, Amateur (Men &amp; Women) &amp; Juniors (Boys &amp; Girls); 20kms for fun ride inside Auroville: All ages above 8 years old.</t>
  </si>
  <si>
    <t>Raju</t>
  </si>
  <si>
    <t>(+91) 9443074825</t>
  </si>
  <si>
    <t>Registration Fees include: T-Shirt, Timing Certificates, Finisher medal, Technical support, Hydration support, Medical aid, Ambulance Services and breakfast.</t>
  </si>
  <si>
    <t>All ages above 8 years old. Only manually driven pedal bicycles allowed.</t>
  </si>
  <si>
    <t>www.aurovillesports.in</t>
  </si>
  <si>
    <t>Betina and Shalini present Agüita</t>
  </si>
  <si>
    <t>Theatre / Music</t>
  </si>
  <si>
    <t>Agüita tells stories of women’s lives through live music, clowning, and physical theatre. Moving from the everyday to the raw and profound, it invites you into a shared space of laughter, tears, and reflection.</t>
  </si>
  <si>
    <t>Betina and Shalini</t>
  </si>
  <si>
    <t>Miksang—Mindful Photography workshop</t>
  </si>
  <si>
    <t>Miksang is a contemplative photography practice... focusing on the elements of patterns and texture.</t>
  </si>
  <si>
    <t>Booking is required. Suitable for all (bring phone/camera).</t>
  </si>
  <si>
    <t>My Tyrano: Together, Forever</t>
  </si>
  <si>
    <t>Movie Screening (Children's Matinee)</t>
  </si>
  <si>
    <t>Adventure-Animation, Japanese-Mandarin w/ English subtitles, Rated: NR (PG)</t>
  </si>
  <si>
    <t>Children's Matinee</t>
  </si>
  <si>
    <t>Thérèse</t>
  </si>
  <si>
    <t>Movie Screening (Classic World Cinema)</t>
  </si>
  <si>
    <t>Ciné-Club, MMC Auditorium</t>
  </si>
  <si>
    <t>Drama, 90 mins, French w/ English subtitles, Rated: R.</t>
  </si>
  <si>
    <t>The Mother on the Overmind Gods and The Mother on Overmind &amp; Supermind (Film)</t>
  </si>
  <si>
    <t>The Mother explains the Overmind as the domain of the gods... and speaks about the long terrestrial evolution... and that she came in charge of the sadhaks. Duration: 40min.</t>
  </si>
  <si>
    <t>Oceanic Bodywork Aqua 3 (OBA 3) with Dariya &amp; Fred</t>
  </si>
  <si>
    <t>14—19 October</t>
  </si>
  <si>
    <t>advanced techniques for both surface and underwater work. The focus on slowness, silence, love, and compassion...</t>
  </si>
  <si>
    <t>Dariya &amp; Fred</t>
  </si>
  <si>
    <t>Prerequisites: OBA 2</t>
  </si>
  <si>
    <t>Visit of the Tibetan Doctor</t>
  </si>
  <si>
    <t>Consultation</t>
  </si>
  <si>
    <t>2—5:30pm</t>
  </si>
  <si>
    <t>The consultation is held at Pavilion of Tibetan Culture, International Zone. Auroville.</t>
  </si>
  <si>
    <t>(+91) 8489067332 (WA)</t>
  </si>
  <si>
    <t>Appointment required.</t>
  </si>
  <si>
    <t>8:30am—1pm &amp; 2—5:30pm</t>
  </si>
  <si>
    <t>Sri Aurobindo and Spiritual Quest of Humanity</t>
  </si>
  <si>
    <t>a recorded video of Dr. M.V. Nadkarni at Matagiri, 2004.</t>
  </si>
  <si>
    <t>8:30am—1pm</t>
  </si>
  <si>
    <t>Practices for Inner Exploration</t>
  </si>
  <si>
    <t>Authentic and Effective Conversations</t>
  </si>
  <si>
    <t>Panchakarma: Ayurvedic Purification Techniques</t>
  </si>
  <si>
    <t>Bamboo furniture workshop</t>
  </si>
  <si>
    <t>18 &amp; 19 October</t>
  </si>
  <si>
    <t>Discover the timeless charm of bamboo by crafting a hand—build furniture using traditional joinery techniques.</t>
  </si>
  <si>
    <t>Ideal for teams, families, or creators interested in sustainable furniture.</t>
  </si>
  <si>
    <t>Sri Aurobindo’s Integral Yoga—Evolution Fast-forward, Part 2 (Film)</t>
  </si>
  <si>
    <t>Psychology, Cosmology, Transformational Practice. An educational motion graphics film by Sopanam. Duration: 50min.</t>
  </si>
  <si>
    <t>Loving Water with Roberto</t>
  </si>
  <si>
    <t>20—22 October</t>
  </si>
  <si>
    <t>Monday—Wednesday</t>
  </si>
  <si>
    <t>8:45am—6:30pm</t>
  </si>
  <si>
    <t>This course offers a guided journey to overcome fear and discomfort in water by exploring movement, breathing, and floating through targeted exercises.</t>
  </si>
  <si>
    <t>Roberto</t>
  </si>
  <si>
    <t>Prerequisites: no previous experience required.</t>
  </si>
  <si>
    <t>Ideal of Human Unity</t>
  </si>
  <si>
    <t>Talk by Ameeta Mehra, Gnostic Centre.</t>
  </si>
  <si>
    <t>Pawanamuktasana Series: Energize the Joints</t>
  </si>
  <si>
    <t>Yoga Nidra: Deep Relaxation</t>
  </si>
  <si>
    <t>25—26 October</t>
  </si>
  <si>
    <t>Saturday—Sunday</t>
  </si>
  <si>
    <t>Evolution Fast-forward, Part 4—Spiritual History of India in the Light of Sri Aurobindo (Film)</t>
  </si>
  <si>
    <t>This film traces the spiritual evolution of India over 4000 years, seen through an original Indic perspective based on Sri Aurobindo’s research to discover the past and future of India’s gift to the world. Duration: 75 min.</t>
  </si>
  <si>
    <t>Gurdjieff Sacred Movements</t>
  </si>
  <si>
    <t>Workshop / Meditation</t>
  </si>
  <si>
    <t>27—29 October</t>
  </si>
  <si>
    <t>An active meditation workshop to develop self awareness and presence through precise exercises developed by Georg Gurdjieff.</t>
  </si>
  <si>
    <t>Nirupam Gyan</t>
  </si>
  <si>
    <t>auroville.workshops@gmail.com</t>
  </si>
  <si>
    <t>Residents and long term volunteers should contact auroville.workshops@gmail.com</t>
  </si>
  <si>
    <t>https://tinyurl.com/42s3jn37</t>
  </si>
  <si>
    <t>Watsu® &amp; OBA Basic with Dariya</t>
  </si>
  <si>
    <t>23—28 October</t>
  </si>
  <si>
    <t>1—6pm (31 hours)</t>
  </si>
  <si>
    <t>In Watsu Basic, during which the receiver’s face remains always on the surface, you’ll learn the qualities and body mechanics required to work with someone in water.</t>
  </si>
  <si>
    <t>Prerequisites: No previous experience required.</t>
  </si>
  <si>
    <t>Watsu® &amp; Meditation with Dariya</t>
  </si>
  <si>
    <t>30—31 October</t>
  </si>
  <si>
    <t>8:45am—6pm (15 hours)</t>
  </si>
  <si>
    <t>Meditation is an important tool for listening, accepting and knowing ourselves, as well as becoming more intuitive towards others.</t>
  </si>
  <si>
    <t>Prerequisites: Watsu Basic</t>
  </si>
  <si>
    <t>Finding the Divine through Karma Yoga</t>
  </si>
  <si>
    <t>A talk by Dr. Alok Pandey.</t>
  </si>
  <si>
    <t>Sufi—The Path of Love</t>
  </si>
  <si>
    <t>31 October—2 November</t>
  </si>
  <si>
    <t>Friday—Sunday</t>
  </si>
  <si>
    <t>A soul-nourishing journey into the heart of Sufi mysticism through the sacred practices of zikr (remembrance) and whirling meditation dance.</t>
  </si>
  <si>
    <t>1—2 November</t>
  </si>
  <si>
    <t>Performing &amp; Visual Arts Specialist</t>
  </si>
  <si>
    <t>Arts / Consultation</t>
  </si>
  <si>
    <t>By Appointment</t>
  </si>
  <si>
    <t>Ilaignarkal Education Centre</t>
  </si>
  <si>
    <t>Supporting the workers and children of Auroville through shared learning and holistic empowerment</t>
  </si>
  <si>
    <t>(+91) 0413 2623773</t>
  </si>
  <si>
    <t>Workers and children of Auroville (Call to book slot in advance)</t>
  </si>
  <si>
    <t>Women &amp; Children Welfare Consultant</t>
  </si>
  <si>
    <t>Editorial Support; Tamil Language Typing &amp; Tamil Poetry</t>
  </si>
  <si>
    <t>Support</t>
  </si>
  <si>
    <t>System Design &amp; Research in Technology and Social Entrepreneurship</t>
  </si>
  <si>
    <t>Consultation / Research</t>
  </si>
  <si>
    <t>Live Portrait by Sathya</t>
  </si>
  <si>
    <t>Reach out to schedule a session.</t>
  </si>
  <si>
    <t>Sound Healing Session</t>
  </si>
  <si>
    <t>Healing Session</t>
  </si>
  <si>
    <t>Unspecified (45 minutes)</t>
  </si>
  <si>
    <t>This 45-minute Sound Healing Session is designed to help you reconnect with your natural state of well-being.</t>
  </si>
  <si>
    <t>Solo, Duo or Group sessions available.</t>
  </si>
  <si>
    <t>https://svaram.org/sound-healing-sessions/</t>
  </si>
  <si>
    <t>Kalari Massage</t>
  </si>
  <si>
    <t>Massage / Therapy</t>
  </si>
  <si>
    <t>Swimming Class / Water therapy, open water, Oceanic Water dance, Water movie</t>
  </si>
  <si>
    <t>Swimming / Therapy</t>
  </si>
  <si>
    <t>watersport_mani (Pool/Oceanic Water)</t>
  </si>
  <si>
    <t>Swim to Serenity: Waves of Strength!</t>
  </si>
  <si>
    <t>(+91) 8637633696</t>
  </si>
  <si>
    <t>Egai Giving: Toys Workshop</t>
  </si>
  <si>
    <t>Egai Giving</t>
  </si>
  <si>
    <t>Craft simple toys made of wood and bamboo.</t>
  </si>
  <si>
    <t>Anand</t>
  </si>
  <si>
    <t>(+91) 9791896488</t>
  </si>
  <si>
    <t>egai@auroville.org.in</t>
  </si>
  <si>
    <t>Egai Giving: Finger Painting Workshop</t>
  </si>
  <si>
    <t>Tap into your inner child and learn how to paint with your fingers.</t>
  </si>
  <si>
    <t>Egai Giving: Coconut Shell Workshop</t>
  </si>
  <si>
    <t>Make and take earrings, keychains, bowls, and pendants.</t>
  </si>
  <si>
    <t>Egai Giving: Incense Workshop</t>
  </si>
  <si>
    <t>Come and make your own agarbatties.</t>
  </si>
  <si>
    <t>3 days Intensive Permaculture Weekend Workshop</t>
  </si>
  <si>
    <t>View schedule and book online</t>
  </si>
  <si>
    <t>Weekend</t>
  </si>
  <si>
    <t>intensive and hands-on workshop that will empower you to start growing your own food</t>
  </si>
  <si>
    <t>https://solitude.farm/workshop/</t>
  </si>
  <si>
    <t>Mini Permaculture Workshop (Private booking)</t>
  </si>
  <si>
    <t>By Private Booking</t>
  </si>
  <si>
    <t>2 hours</t>
  </si>
  <si>
    <t>Introduction to permaculture through local food / Handmade Soap-Making (Group can select module)</t>
  </si>
  <si>
    <t>Separate charge for larger group</t>
  </si>
  <si>
    <t>Group size 4 + participants</t>
  </si>
  <si>
    <t>Make &amp; Take Workshop: Pottery Making</t>
  </si>
  <si>
    <t>Daily (Booked 1 day in advance)</t>
  </si>
  <si>
    <t>10am—12:30pm or 2—5pm</t>
  </si>
  <si>
    <t>Craft Activity Duration: 1 hour</t>
  </si>
  <si>
    <t>Make &amp; Take Workshop: Kolam Mandala Painting</t>
  </si>
  <si>
    <t>Craft Activity Duration: 2 hours</t>
  </si>
  <si>
    <t>Make &amp; Take Workshop: Coconut Shell Craft</t>
  </si>
  <si>
    <t>Craft Activity Duration: 3 hours</t>
  </si>
  <si>
    <t>Make &amp; Take Workshop: Incense Making</t>
  </si>
  <si>
    <t>Craft Activity Duration: 1.5 hours</t>
  </si>
  <si>
    <t>Make &amp; Take Workshop: Lampshade Making</t>
  </si>
  <si>
    <t>Make &amp; Take Workshop: Paper Marbling</t>
  </si>
  <si>
    <t>Make &amp; Take Workshop: Candle Making</t>
  </si>
  <si>
    <t>Make &amp; Take Workshop: Soap Making</t>
  </si>
  <si>
    <t>Craft Activity Duration: 2 hours or 1 day</t>
  </si>
  <si>
    <t>Make &amp; Take Workshop: Traditional Leaf Craft</t>
  </si>
  <si>
    <t>Make &amp; Take Workshop: Bamboo Jewelery</t>
  </si>
  <si>
    <t>Make &amp; Take Workshop: Dreamcatcher</t>
  </si>
  <si>
    <t>Make &amp; Take Workshop: Henna</t>
  </si>
  <si>
    <t>Auroville Bio-region hub: Village Tour</t>
  </si>
  <si>
    <t>By Appointment (1 day advance booking)</t>
  </si>
  <si>
    <t>3 hours</t>
  </si>
  <si>
    <t>Mohanam Program</t>
  </si>
  <si>
    <t>Auroville Bio-region hub: Munnur &amp; Perumukkal Visit</t>
  </si>
  <si>
    <t>6 hours</t>
  </si>
  <si>
    <t>Auroville Bio-region hub: Kaluveli Tank Visit</t>
  </si>
  <si>
    <t>Auroville Bio-region hub: Bio-region Village Temple Tour</t>
  </si>
  <si>
    <t>4 hours</t>
  </si>
  <si>
    <t>Auroville Bio-region hub: Navagraha Temple Visit</t>
  </si>
  <si>
    <t>Navagraha Temple Visit (Moratandi Navagraha Temple &amp; Prithyangara Temple)</t>
  </si>
  <si>
    <t>Auroville Bio-region hub: Wood Fossil Visit and Quarry Shower</t>
  </si>
  <si>
    <t>Thiruvannamalai Eco &amp; Spiritual Services (Tour, Retreat space, Camping, etc.)</t>
  </si>
  <si>
    <t>Tour / Service</t>
  </si>
  <si>
    <t>Thiruvannamalai (Partnered with Mohanam)</t>
  </si>
  <si>
    <t>The following services are available in Thiruvannamalai as Mohanam program has partnered with locals to arrange local tours, therapy, ashram visits, healing sessions, trekking and camping packages, group outings and awakening/ spiritual tours and Thiruvannamalai volunteering activities.</t>
  </si>
  <si>
    <t>Weekly Art Workshops &amp; Sessions: Live Portrait by Sathya</t>
  </si>
  <si>
    <t>Home care visits by Sruthi (Physiotherapy)</t>
  </si>
  <si>
    <t>Physiotherapy / Health Care</t>
  </si>
  <si>
    <t>Client's place (Home Care)</t>
  </si>
  <si>
    <t>Neck pain, Low back pain, Knee pain, Heel pain, Frozen shoulder, Shoulder related pain, Muscle injury, Ligament injury, Sprain and strain, Sports injuries, Sciatica, Post fracture/ surgical rehabilitation, Stroke/ Paralysis, Facial palsy/ Bell’s palsy, General fitness, Ergonomic advice, Geriatric care, Myofascial massage (Head&amp;Neck/ Back)</t>
  </si>
  <si>
    <t>Sruthi</t>
  </si>
  <si>
    <t>(+91) 7904769496 (WA)</t>
  </si>
  <si>
    <t>auroshruthi@auroville.org.in</t>
  </si>
  <si>
    <t>Individual or group mindfulness sessions with Helen</t>
  </si>
  <si>
    <t>Mindfulness / Therapy</t>
  </si>
  <si>
    <t>Psychotherapy</t>
  </si>
  <si>
    <t>Monday &amp; Wednesday (Mornings); Tuesday &amp; Thursday (Afternoons/Evenings); Alternate Friday or Saturday (Full day)</t>
  </si>
  <si>
    <t>Varies</t>
  </si>
  <si>
    <t>Unspecified (In person or online)</t>
  </si>
  <si>
    <t>A unique combination of psychotherapy, self-inquiry and ancient teachings of Enneagram of Liberation.</t>
  </si>
  <si>
    <t>(+91) 9940934875 (WA)</t>
  </si>
  <si>
    <t>Private 1:1 sessions for deep emotional healing and self-discovery.</t>
  </si>
  <si>
    <t>Sound Therapy &amp; Self Healing</t>
  </si>
  <si>
    <t>Healing / Sound Bath</t>
  </si>
  <si>
    <t>Rejuvenating soundbath combined with breathing techniques for maximum benefits: By immersing yourself in the vibrations from a sound bed you will start to connect with your body’s consciousness.</t>
  </si>
  <si>
    <t>(+91) 9385428400 (call/WA)</t>
  </si>
  <si>
    <t>Donation Based</t>
  </si>
  <si>
    <t>Integral Unfoldment Transformational Coaching</t>
  </si>
  <si>
    <t>Coaching</t>
  </si>
  <si>
    <t>JOI Anitya</t>
  </si>
  <si>
    <t>Explore your inner world gently, at your pace, with presence, curiosity &amp; compassion.</t>
  </si>
  <si>
    <t>Dave</t>
  </si>
  <si>
    <t>(+44) 7564119728 (WA)</t>
  </si>
  <si>
    <t>KolamYoga Introduction / Initiation sessions</t>
  </si>
  <si>
    <t>Yoga / Course</t>
  </si>
  <si>
    <t>KolamYoga offers one off Introduction sessions and /or Initiation sessions into the Integral 12 sessions foundation course.</t>
  </si>
  <si>
    <t>Grace Gitadelila</t>
  </si>
  <si>
    <t>(+91) 8072449091 (WA)</t>
  </si>
  <si>
    <t>https://youtu.be/IErbDiGJVTA?si=z5yoS-chugMMnM6a, www.kolamyoga.com</t>
  </si>
  <si>
    <t>Kotree Yoga</t>
  </si>
  <si>
    <t>Arka Wellness Center</t>
  </si>
  <si>
    <t>Private one on one sessions with Grace Gitadelila. Gentle, strong movements, in chain sequence, held poses, alternated with rest and active guided recovery pauses, are fueled by conscious breathing.</t>
  </si>
  <si>
    <t>https://youtu.be/DvxK5KR6u3M?si=cOdDK2YbtPs-ErYG</t>
  </si>
  <si>
    <t>WORLD GAME FOR ADULTS AND CHILDREN</t>
  </si>
  <si>
    <t>Therapy / Play Session</t>
  </si>
  <si>
    <t>Around 1.5 hours</t>
  </si>
  <si>
    <t>Unspecified (space opening onto a peaceful garden)</t>
  </si>
  <si>
    <t>This creative activity, known also as ‘Sandplay ’opens up your imagination and intuition, to reveal your own unique living soul.</t>
  </si>
  <si>
    <t>Aikya</t>
  </si>
  <si>
    <t>(+91) 9488084952 (WA)</t>
  </si>
  <si>
    <t>spiritandnature@auroville.org.in</t>
  </si>
  <si>
    <t>Sessions can be for one or for two people at a time, including intergenerational pairs.</t>
  </si>
  <si>
    <t>https://spiritandnature.org.in</t>
  </si>
  <si>
    <t>Learn English and Hindi</t>
  </si>
  <si>
    <t>Learn spoken/ written English and Hindi language for fluency and confidence!</t>
  </si>
  <si>
    <t>(+91) 8270512606</t>
  </si>
  <si>
    <t>Tomatis listening training programs</t>
  </si>
  <si>
    <t>Training</t>
  </si>
  <si>
    <t>Two-week and three-week slots available (30-hour Wellness Listening Training programs or shorter language programs)</t>
  </si>
  <si>
    <t>Aurovilians, Newcomers and Volunteers adults, teenagers and kids. Open to all.</t>
  </si>
  <si>
    <t>https://www.aurovillelanguagelab.org/alfred-tomatis-method/</t>
  </si>
  <si>
    <t>Next-Gen English: AI, Projects &amp; You</t>
  </si>
  <si>
    <t>Get customized English classes designed around your communication goals.</t>
  </si>
  <si>
    <t>Private and group classes for English</t>
  </si>
  <si>
    <t>Enquire for timings</t>
  </si>
  <si>
    <t>Her classes are customized according to each individual’s level and pace.</t>
  </si>
  <si>
    <t>Vismai</t>
  </si>
  <si>
    <t>One-on-one and to small groups limited to 2-3 learners.</t>
  </si>
  <si>
    <t>German—online private classes</t>
  </si>
  <si>
    <t>Online</t>
  </si>
  <si>
    <t>Verena</t>
  </si>
  <si>
    <t>https://aurovillelanguagelab.org/registration/</t>
  </si>
  <si>
    <t>Pilates</t>
  </si>
  <si>
    <t>Tuesday &amp; Thursday, Friday</t>
  </si>
  <si>
    <t>7:30—8:30am (T/Th), 5:30—6:30pm (F)</t>
  </si>
  <si>
    <t>Teresa</t>
  </si>
  <si>
    <t>(+91) 7867998952</t>
  </si>
  <si>
    <t>Acroyoga</t>
  </si>
  <si>
    <t>By Appointment Only</t>
  </si>
  <si>
    <t>Damien TOS</t>
  </si>
  <si>
    <t>(+91) 9047722740</t>
  </si>
  <si>
    <t>Eye yoga and well-ness retreat</t>
  </si>
  <si>
    <t>Yoga / Retreat</t>
  </si>
  <si>
    <t>7—8am</t>
  </si>
  <si>
    <t>Aurosugan &amp; Priyanka</t>
  </si>
  <si>
    <t>(+91) 8012305151/ 9704258709</t>
  </si>
  <si>
    <t>Psychospiritual Introspective Tarot Reading</t>
  </si>
  <si>
    <t>Reading / Consultation</t>
  </si>
  <si>
    <t>Antarjyoti</t>
  </si>
  <si>
    <t>antarcalli@yahoo.fr</t>
  </si>
  <si>
    <t>Deconditioning Self Inquiry / I ching oracle / Inner/subpersonalities forces awareness</t>
  </si>
  <si>
    <t>Therapy / Consultation</t>
  </si>
  <si>
    <t>Integral Regression therapy / Integral reiki healing / Holotropic technique breathwork</t>
  </si>
  <si>
    <t>Therapy / Healing</t>
  </si>
  <si>
    <t>Niyati Thakkar</t>
  </si>
  <si>
    <t>(+91) 7041391995</t>
  </si>
  <si>
    <t>narayani-nc@auroville.org.in</t>
  </si>
  <si>
    <t>Body Logic, Soft Massage, Deep Tissue Massage</t>
  </si>
  <si>
    <t>Massage</t>
  </si>
  <si>
    <t>Pepe</t>
  </si>
  <si>
    <t>(+91) 9943410987</t>
  </si>
  <si>
    <t>Cranio-sacral, Lomi Lomi, Kahuna massage, Barefoot body massage</t>
  </si>
  <si>
    <t>Silvana TOS</t>
  </si>
  <si>
    <t>(+91) 9047654157</t>
  </si>
  <si>
    <t>Yoga of Mother and Sri Aurobindo / Healing and Awareness / Mother’s Flower Medicine / Psychosomatic Therapy and Breath Therapy / Consciousness/ Energy/ Body Work</t>
  </si>
  <si>
    <t>Therapy / Bodywork</t>
  </si>
  <si>
    <t>Barbara</t>
  </si>
  <si>
    <t>baritam@auroville.org.in</t>
  </si>
  <si>
    <t>Individual Sessions and Groupwork</t>
  </si>
  <si>
    <t>Thai Yoga Massage Bodywork</t>
  </si>
  <si>
    <t>Massage / Bodywork</t>
  </si>
  <si>
    <t>Combining acupressure to balance meridians and boost circulation, stretching to enhance flexibility and reduce tension...</t>
  </si>
  <si>
    <t>Cupping Therapy</t>
  </si>
  <si>
    <t>traditional therapy involves applying firm finger pressure or using acupressure tools on specific acupoints along the body’s energy pathways (meridians) to stimulate the flow of Qi (life energy).</t>
  </si>
  <si>
    <t>Ashok</t>
  </si>
  <si>
    <t>Deep Tissue Massage Therapy</t>
  </si>
  <si>
    <t>A deep tissue massage is a therapeutic technique using slow, deep strokes and firm pressure to release chronic muscle tension and “adhesions”...</t>
  </si>
  <si>
    <t>Acupressure Therapy</t>
  </si>
  <si>
    <t>This traditional therapy involves applying firm finger pressure or using acupressure tools on specific acupoints along the body’s energy pathways (meridians) to stimulate the flow of Qi (life energy).</t>
  </si>
  <si>
    <t>Face &amp; Neck Massage</t>
  </si>
  <si>
    <t>A rejuvenating technique using special face oils, massaged with varying pressures into the face &amp; neck, along specific energy lines &amp; points...</t>
  </si>
  <si>
    <t>Yoga Chikitsa: Personalized Yoga Therapy</t>
  </si>
  <si>
    <t>One-to-one yoga therapy sessions tailored to everyone’s specific needs.</t>
  </si>
  <si>
    <t>Thai Yoga Massage (Vérité)</t>
  </si>
  <si>
    <t>The therapist will guide and support the client in various yoga-like poses and stretches and apply gentle but firm pressure...</t>
  </si>
  <si>
    <t>Wear comfortable clothing suitable for movement.</t>
  </si>
  <si>
    <t>Biodynamic Craniosacral Therapy</t>
  </si>
  <si>
    <t>uses gentle touch to the head to help release tension in the skull, spine and sacrum...</t>
  </si>
  <si>
    <t>Food is Medicine: Lifestyle Health Practices Consultation</t>
  </si>
  <si>
    <t>Personalized guidance in nutrition and lifestyle modifications to support health and well-being.</t>
  </si>
  <si>
    <t>Parvathi</t>
  </si>
  <si>
    <t>Learn about your body’s constitution (Tridosa)</t>
  </si>
  <si>
    <t>Healing Facial Therapy: An 8-Step Skin Care Treatment with Indigenous Herbs</t>
  </si>
  <si>
    <t>Healing Facial Therapy helps cleanse the facial skin, remove dead cells, boost collagen, reduce wrinkles, treat acne and allow the skin to glow...</t>
  </si>
  <si>
    <t>Head Massage &amp; Hair Care</t>
  </si>
  <si>
    <t>A relaxing massage to the head and scalp using hair tonic oil.</t>
  </si>
  <si>
    <t>Integrated Ayurvedic, Acupressure, Deep Tissue &amp; Heart Healing Massage</t>
  </si>
  <si>
    <t>A massage that integrates elements from Acupressure... Deep Tissue... and Heart Healing...</t>
  </si>
  <si>
    <t>Raja</t>
  </si>
  <si>
    <t>Healing Sound Bath with Tuning Forks</t>
  </si>
  <si>
    <t>Healing</t>
  </si>
  <si>
    <t>Sound Healing is a gentle yet powerful method to help you reconnect with your own innate high-level vibration.</t>
  </si>
  <si>
    <t>Heart-Centered Resilience</t>
  </si>
  <si>
    <t>Susan</t>
  </si>
  <si>
    <t>Energy Healing Reiki</t>
  </si>
  <si>
    <t>An energy healing technique that promotes physical, emotional, and spiritual well-being...</t>
  </si>
  <si>
    <t>Vyshnavi</t>
  </si>
  <si>
    <t>Holistic Foot Reflexology</t>
  </si>
  <si>
    <t>Manual pressure is applied to specific “reflex points” of the feet to assist in restoring the flow of life energy to support self-healing.</t>
  </si>
  <si>
    <t>Holistic Rebalancing Massage</t>
  </si>
  <si>
    <t>A full-body treatment integrating elements of deep tissue massage, joint release, &amp; energy balance.</t>
  </si>
  <si>
    <t>Sha–Lu–Ha–Ka Bodywork with Nikethana</t>
  </si>
  <si>
    <t>Bodywork</t>
  </si>
  <si>
    <t>This unique bodywork technique blends gentle massage, energy healing, and intuitive touch to activate the tree of life within the body.</t>
  </si>
  <si>
    <t>Visceral Massage with Olesya</t>
  </si>
  <si>
    <t>Classical Visceral therapy is an ancient technique of working with the abdomen: palpation and manual pressure on internal abdominal organs for their stabilisation...</t>
  </si>
  <si>
    <t>Neurology Massage with Olesya</t>
  </si>
  <si>
    <t>This massage is focused on relieving tension from the head and neck where soft manual techniques are used...</t>
  </si>
  <si>
    <t>Psychosomatic of Diseases with Olesya</t>
  </si>
  <si>
    <t>Consultation / Therapy</t>
  </si>
  <si>
    <t>It answers the question “why are we sick?“, including work with the stress which gives disturbance to the body...</t>
  </si>
  <si>
    <t>Women’s Health Therapy with Olesya</t>
  </si>
  <si>
    <t>The physiotherapy of the pelvic floor to recover: lowering of the pelvic organs, urinary incontinence, cystitis...</t>
  </si>
  <si>
    <t>Breast Health and hip joint recovery also included.</t>
  </si>
  <si>
    <t>Private one-on-one classes possible for all languages</t>
  </si>
  <si>
    <t>Bio-Resonance (with Bi-Com machine)</t>
  </si>
  <si>
    <t>Healing Space, Pitanga</t>
  </si>
  <si>
    <t>Afsaneh</t>
  </si>
  <si>
    <t>Chiropractic</t>
  </si>
  <si>
    <t>Auromira</t>
  </si>
  <si>
    <t>Shamanic Healing</t>
  </si>
  <si>
    <t>Francesca</t>
  </si>
  <si>
    <t>Antigymnastique®</t>
  </si>
  <si>
    <t>Gaspard</t>
  </si>
  <si>
    <t>Sound Healing Therapy with Singing Bowls</t>
  </si>
  <si>
    <t>Heidi S</t>
  </si>
  <si>
    <t>Acupuncture</t>
  </si>
  <si>
    <t>Jivatma S</t>
  </si>
  <si>
    <t>Sarga Bodywork®</t>
  </si>
  <si>
    <t>Juan</t>
  </si>
  <si>
    <t>Thai Yoga Massage (Pitanga)</t>
  </si>
  <si>
    <t>Sha-Lu-Ha-Ka Bodywork (Pitanga)</t>
  </si>
  <si>
    <t>Visceral Massage (Pitanga)</t>
  </si>
  <si>
    <t>Patricia G</t>
  </si>
  <si>
    <t>(+91) 948 7230 399 (WA message)</t>
  </si>
  <si>
    <t>For Auroville residents only. Contact directly via WA message to schedule an appointment.</t>
  </si>
  <si>
    <t>Neurology Massage (Pitanga)</t>
  </si>
  <si>
    <t>Psychosomatic of diseases (Pitanga)</t>
  </si>
  <si>
    <t>Women’s Health Therapy (Pitanga)</t>
  </si>
  <si>
    <t>Shiatsu</t>
  </si>
  <si>
    <t>Consultation with Dr. Joseph, Dr. Pavan &amp; Dr. Sana</t>
  </si>
  <si>
    <t>Medical Consultation</t>
  </si>
  <si>
    <t>During Santé working hours (9—12:30pm &amp; 2—4:30pm)</t>
  </si>
  <si>
    <t>Santé Services</t>
  </si>
  <si>
    <t>Dr. Joseph, Dr. Pavan &amp; Dr. Sana</t>
  </si>
  <si>
    <t>Nurse Care</t>
  </si>
  <si>
    <t>Medical Care</t>
  </si>
  <si>
    <t>Thilagam, Ezhil, Archana &amp; Sandhya</t>
  </si>
  <si>
    <t>No appointment needed.</t>
  </si>
  <si>
    <t>Ayurveda with Dr. Be</t>
  </si>
  <si>
    <t>Tuesday/ Wednesday/ Friday</t>
  </si>
  <si>
    <t>Dr. Be</t>
  </si>
  <si>
    <t>Integrative Psychotherapy with Juan Andres</t>
  </si>
  <si>
    <t>Physiotherapy &amp; Massage with Galina</t>
  </si>
  <si>
    <t>Therapy / Massage</t>
  </si>
  <si>
    <t>Galina</t>
  </si>
  <si>
    <t>Homeopathy with Michael</t>
  </si>
  <si>
    <t>Monday/ Wednesday/ Saturday</t>
  </si>
  <si>
    <t>Michael</t>
  </si>
  <si>
    <t>Midwifery &amp; GYN Care with Paula</t>
  </si>
  <si>
    <t>Paula</t>
  </si>
  <si>
    <t>Soundbed Session with Sandhya/ Thilagam</t>
  </si>
  <si>
    <t>Sandhya/ Thilagam</t>
  </si>
  <si>
    <t>Bio-Well Assessment (Evaluation of your well-being) with Helena</t>
  </si>
  <si>
    <t>Evaluation</t>
  </si>
  <si>
    <t>Helena</t>
  </si>
  <si>
    <t>adminsante@auroville.org.in</t>
  </si>
  <si>
    <t>Inquiry via email required.</t>
  </si>
  <si>
    <t>Counselling Support (SLS)</t>
  </si>
  <si>
    <t>Supportive Learning</t>
  </si>
  <si>
    <t>Supportive Learning Satellite (SLS)</t>
  </si>
  <si>
    <t>We are a team of five facilitators, working with children either in small groups or through individual sessions, depending on their needs.</t>
  </si>
  <si>
    <t>Ana and Laura</t>
  </si>
  <si>
    <t>(+91) 9655519546</t>
  </si>
  <si>
    <t>sls@auroville.org.in</t>
  </si>
  <si>
    <t>Children requiring specialized education and students facing specific learning challenges.</t>
  </si>
  <si>
    <t>Integrated Psychotherapy with Juan Andres</t>
  </si>
  <si>
    <t>Intermediate English w. Ashwini</t>
  </si>
  <si>
    <t>Wednesday and Thursday</t>
  </si>
  <si>
    <t>KolamYoga</t>
  </si>
  <si>
    <t>Yoga/Course</t>
  </si>
  <si>
    <t>www.kolamyoga.com</t>
  </si>
  <si>
    <t>Beginner French (Intensive Course)</t>
  </si>
  <si>
    <t>Starting October 2025</t>
  </si>
  <si>
    <t>A special two-week intensive French course... for those who wish to rapidly improve their spoken French through daily practice and guidance.</t>
  </si>
  <si>
    <t>Spots are very limited—only five (5) participants will be admitted.</t>
  </si>
  <si>
    <t>Spoken Intermediate Tamil with Saravanan</t>
  </si>
  <si>
    <t>Starting mid-October</t>
  </si>
  <si>
    <t>Tuesdays &amp; Fridays</t>
  </si>
  <si>
    <t>9:30—10:30am</t>
  </si>
  <si>
    <t>It is meant for those who already attended the Spoken Beginner Tamil or already possess a basic knowledge of the language.</t>
  </si>
  <si>
    <t>Saravanan</t>
  </si>
  <si>
    <t>Already possess a basic knowledge of Tamil.</t>
  </si>
  <si>
    <t>The Thursday Murder Club</t>
  </si>
  <si>
    <t>International</t>
  </si>
  <si>
    <t>Cinema Paradiso, Multimedia Center (MMC) Auditorium</t>
  </si>
  <si>
    <t>Mystery-Comedy, 118mins. Residents of a retirement village (Elizabeth, Ron, Ibrahim, and Joyce) solve cold cases until a real murder lands on their doorstep. USA, 2025, Dir. Chris Columbus. English-Polish w/ English subtitles. Rated: PG-13.</t>
  </si>
  <si>
    <t>Support required via contribution/donation</t>
  </si>
  <si>
    <t>Seating starts 15mins before screening; no cell phone use or food/beverage inside the hall.</t>
  </si>
  <si>
    <t>The Secret of Kells</t>
  </si>
  <si>
    <t>Children’s Matinee</t>
  </si>
  <si>
    <t>Hand-Drawn Animation-Adventure, 98mins. Young Brendan helps Brother Aidan finish a mystical book, venturing into enchanted woods and confronting danger. Ireland-Belgium-Franc-Luxembourg, 2009. Irish Gaelic-Norwegian-Latin-English w/ English subtitles. Rated: PG.</t>
  </si>
  <si>
    <t>Birdman of Alcatraz</t>
  </si>
  <si>
    <t>Classic World Cinema @ Ciné-Club</t>
  </si>
  <si>
    <t>Biography-Crime, 147 mins. Robert Stroud, sentenced to solitary confinement, finds new purpose by curing a sparrow and becoming an expert on birds, creating a fascinating world in his prison cell. USA, 1962, Dir. John Frankenheimer. English w/ English subtitles. Rated: NR.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</si>
</sst>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yyyy"/>
    <numFmt numFmtId="165" formatCode="h:mm am/pm"/>
    <numFmt numFmtId="166" formatCode="yyyy-mm-dd"/>
    <numFmt numFmtId="167" formatCode="dd mmm yyyy"/>
    <numFmt numFmtId="168" formatCode="d mmm yyyy"/>
    <numFmt numFmtId="169" formatCode="d mmmm"/>
  </numFmts>
  <fonts count="12">
    <font>
      <sz val="11.0"/>
      <color theme="1"/>
      <name val="Calibri"/>
      <scheme val="minor"/>
    </font>
    <font>
      <b/>
      <sz val="11.0"/>
      <color theme="1"/>
      <name val="Arial"/>
    </font>
    <font>
      <sz val="11.0"/>
      <color theme="1"/>
      <name val="Calibri"/>
    </font>
    <font>
      <sz val="11.0"/>
      <color theme="1"/>
      <name val="Arial"/>
    </font>
    <font>
      <u/>
      <sz val="11.0"/>
      <color rgb="FF1155CC"/>
      <name val="Arial"/>
    </font>
    <font>
      <u/>
      <sz val="11.0"/>
      <color rgb="FF1155CC"/>
      <name val="Arial"/>
    </font>
    <font>
      <u/>
      <sz val="11.0"/>
      <color rgb="FF0000FF"/>
      <name val="Calibri"/>
    </font>
    <font>
      <u/>
      <sz val="11.0"/>
      <color rgb="FF0000FF"/>
      <name val="Calibri"/>
    </font>
    <font>
      <u/>
      <sz val="11.0"/>
      <color rgb="FF1155CC"/>
      <name val="Calibri"/>
    </font>
    <font>
      <u/>
      <sz val="11.0"/>
      <color theme="1"/>
      <name val="Calibri"/>
    </font>
    <font>
      <b/>
      <sz val="11.0"/>
      <color rgb="FF131314"/>
      <name val="Arial"/>
    </font>
    <font>
      <sz val="11.0"/>
      <color rgb="FF131314"/>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164" xfId="0" applyAlignment="1" applyFont="1" applyNumberFormat="1">
      <alignment horizontal="right" vertical="bottom"/>
    </xf>
    <xf borderId="0" fillId="0" fontId="3" numFmtId="165" xfId="0" applyAlignment="1" applyFont="1" applyNumberFormat="1">
      <alignment horizontal="right" vertical="bottom"/>
    </xf>
    <xf borderId="0" fillId="0" fontId="4" numFmtId="0" xfId="0" applyAlignment="1" applyFont="1">
      <alignment shrinkToFit="0" vertical="bottom" wrapText="0"/>
    </xf>
    <xf borderId="0" fillId="0" fontId="5" numFmtId="0" xfId="0" applyAlignment="1" applyFont="1">
      <alignment vertical="bottom"/>
    </xf>
    <xf borderId="0" fillId="0" fontId="3" numFmtId="166" xfId="0" applyAlignment="1" applyFont="1" applyNumberFormat="1">
      <alignment horizontal="right" vertical="bottom"/>
    </xf>
    <xf borderId="0" fillId="0" fontId="3" numFmtId="0" xfId="0" applyAlignment="1" applyFont="1">
      <alignment shrinkToFit="0" vertical="bottom" wrapText="0"/>
    </xf>
    <xf borderId="0" fillId="0" fontId="3" numFmtId="0" xfId="0" applyAlignment="1" applyFont="1">
      <alignment horizontal="right" vertical="bottom"/>
    </xf>
    <xf borderId="0" fillId="0" fontId="2" numFmtId="164" xfId="0" applyAlignment="1" applyFont="1" applyNumberFormat="1">
      <alignment horizontal="right" vertical="bottom"/>
    </xf>
    <xf borderId="0" fillId="0" fontId="6" numFmtId="0" xfId="0" applyAlignment="1" applyFont="1">
      <alignment shrinkToFit="0" vertical="bottom" wrapText="0"/>
    </xf>
    <xf borderId="0" fillId="0" fontId="2" numFmtId="165" xfId="0" applyAlignment="1" applyFont="1" applyNumberFormat="1">
      <alignment horizontal="right" vertical="bottom"/>
    </xf>
    <xf borderId="0" fillId="0" fontId="2" numFmtId="0" xfId="0" applyAlignment="1" applyFont="1">
      <alignment shrinkToFit="0" vertical="bottom" wrapText="0"/>
    </xf>
    <xf borderId="0" fillId="0" fontId="3" numFmtId="21" xfId="0" applyAlignment="1" applyFont="1" applyNumberFormat="1">
      <alignment horizontal="right" vertical="bottom"/>
    </xf>
    <xf borderId="0" fillId="0" fontId="7" numFmtId="0" xfId="0" applyAlignment="1" applyFont="1">
      <alignment vertical="bottom"/>
    </xf>
    <xf borderId="0" fillId="0" fontId="2" numFmtId="166" xfId="0" applyAlignment="1" applyFont="1" applyNumberFormat="1">
      <alignment vertical="bottom"/>
    </xf>
    <xf borderId="0" fillId="0" fontId="2" numFmtId="21" xfId="0" applyAlignment="1" applyFont="1" applyNumberFormat="1">
      <alignment vertical="bottom"/>
    </xf>
    <xf quotePrefix="1" borderId="0" fillId="0" fontId="2" numFmtId="0" xfId="0" applyAlignment="1" applyFont="1">
      <alignment vertical="bottom"/>
    </xf>
    <xf borderId="0" fillId="0" fontId="2" numFmtId="0" xfId="0" applyAlignment="1" applyFont="1">
      <alignment horizontal="right" vertical="bottom"/>
    </xf>
    <xf borderId="0" fillId="0" fontId="8"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horizontal="center" vertical="bottom"/>
    </xf>
    <xf borderId="0" fillId="0" fontId="2" numFmtId="167" xfId="0" applyAlignment="1" applyFont="1" applyNumberFormat="1">
      <alignment vertical="bottom"/>
    </xf>
    <xf borderId="0" fillId="0" fontId="2" numFmtId="168" xfId="0" applyAlignment="1" applyFont="1" applyNumberFormat="1">
      <alignment vertical="bottom"/>
    </xf>
    <xf borderId="0" fillId="0" fontId="2" numFmtId="168" xfId="0" applyAlignment="1" applyFont="1" applyNumberFormat="1">
      <alignment shrinkToFit="0" vertical="bottom" wrapText="0"/>
    </xf>
    <xf borderId="0" fillId="0" fontId="2" numFmtId="165" xfId="0" applyAlignment="1" applyFont="1" applyNumberFormat="1">
      <alignment vertical="bottom"/>
    </xf>
    <xf borderId="0" fillId="0" fontId="2" numFmtId="165" xfId="0" applyAlignment="1" applyFont="1" applyNumberFormat="1">
      <alignment readingOrder="0" vertical="bottom"/>
    </xf>
    <xf borderId="0" fillId="0" fontId="9" numFmtId="0" xfId="0" applyAlignment="1" applyFont="1">
      <alignment readingOrder="0" vertical="bottom"/>
    </xf>
    <xf borderId="0" fillId="0" fontId="2" numFmtId="167" xfId="0" applyAlignment="1" applyFont="1" applyNumberFormat="1">
      <alignment horizontal="right" vertical="bottom"/>
    </xf>
    <xf borderId="0" fillId="0" fontId="2" numFmtId="168" xfId="0" applyAlignment="1" applyFont="1" applyNumberFormat="1">
      <alignment horizontal="right" vertical="bottom"/>
    </xf>
    <xf borderId="0" fillId="0" fontId="3" numFmtId="165" xfId="0" applyAlignment="1" applyFont="1" applyNumberFormat="1">
      <alignment vertical="bottom"/>
    </xf>
    <xf borderId="0" fillId="0" fontId="3" numFmtId="0" xfId="0" applyAlignment="1" applyFont="1">
      <alignment readingOrder="0" vertical="bottom"/>
    </xf>
    <xf borderId="0" fillId="0" fontId="3" numFmtId="20" xfId="0" applyAlignment="1" applyFont="1" applyNumberFormat="1">
      <alignment vertical="bottom"/>
    </xf>
    <xf borderId="0" fillId="0" fontId="3" numFmtId="20" xfId="0" applyAlignment="1" applyFont="1" applyNumberFormat="1">
      <alignment horizontal="right" vertical="bottom"/>
    </xf>
    <xf borderId="0" fillId="0" fontId="3" numFmtId="169" xfId="0" applyAlignment="1" applyFont="1" applyNumberFormat="1">
      <alignment vertical="bottom"/>
    </xf>
    <xf borderId="0" fillId="0" fontId="3" numFmtId="169" xfId="0" applyAlignment="1" applyFont="1" applyNumberFormat="1">
      <alignment horizontal="right" vertical="bottom"/>
    </xf>
    <xf borderId="0" fillId="2" fontId="10" numFmtId="0" xfId="0" applyAlignment="1" applyFill="1" applyFont="1">
      <alignment vertical="bottom"/>
    </xf>
    <xf borderId="0" fillId="2" fontId="11" numFmtId="0" xfId="0" applyAlignment="1" applyFont="1">
      <alignment vertical="bottom"/>
    </xf>
    <xf borderId="0" fillId="2" fontId="11" numFmtId="169" xfId="0" applyAlignment="1" applyFont="1" applyNumberFormat="1">
      <alignment horizontal="right" vertical="bottom"/>
    </xf>
    <xf borderId="0" fillId="2" fontId="11" numFmtId="165" xfId="0" applyAlignment="1" applyFont="1" applyNumberFormat="1">
      <alignment horizontal="right" vertical="bottom"/>
    </xf>
    <xf borderId="0" fillId="2" fontId="2" numFmtId="0" xfId="0" applyAlignment="1" applyFont="1">
      <alignment vertical="bottom"/>
    </xf>
    <xf borderId="0" fillId="2" fontId="1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serendipityaureville@gmail.com" TargetMode="External"/><Relationship Id="rId42" Type="http://schemas.openxmlformats.org/officeDocument/2006/relationships/hyperlink" Target="https://drive.google.com/file/d/1xTgP6XRMna4F_oiFqymIz0mdMFL8n8Uw/view?usp=drivesdk" TargetMode="External"/><Relationship Id="rId41" Type="http://schemas.openxmlformats.org/officeDocument/2006/relationships/hyperlink" Target="mailto:serendipityauroville@gmail.com" TargetMode="External"/><Relationship Id="rId44" Type="http://schemas.openxmlformats.org/officeDocument/2006/relationships/hyperlink" Target="mailto:wellpaper@auroville.org.in" TargetMode="External"/><Relationship Id="rId43" Type="http://schemas.openxmlformats.org/officeDocument/2006/relationships/hyperlink" Target="https://maps.app.goo.gl/jGCsCuuamBu5rJz37" TargetMode="External"/><Relationship Id="rId46" Type="http://schemas.openxmlformats.org/officeDocument/2006/relationships/hyperlink" Target="mailto:quiet@auroville.org.in" TargetMode="External"/><Relationship Id="rId45" Type="http://schemas.openxmlformats.org/officeDocument/2006/relationships/hyperlink" Target="https://drive.google.com/file/d/13DSs8Dya42HHzP6PeOtptJ6hlr70g1sw/view?usp=drivesdk" TargetMode="External"/><Relationship Id="rId107" Type="http://schemas.openxmlformats.org/officeDocument/2006/relationships/hyperlink" Target="https://svaram.org/eternal-dhrupad/" TargetMode="External"/><Relationship Id="rId106" Type="http://schemas.openxmlformats.org/officeDocument/2006/relationships/hyperlink" Target="http://www.quiethealingcenter.info" TargetMode="External"/><Relationship Id="rId105" Type="http://schemas.openxmlformats.org/officeDocument/2006/relationships/hyperlink" Target="http://www.verite.in" TargetMode="External"/><Relationship Id="rId104" Type="http://schemas.openxmlformats.org/officeDocument/2006/relationships/hyperlink" Target="http://www.verite.in" TargetMode="External"/><Relationship Id="rId109" Type="http://schemas.openxmlformats.org/officeDocument/2006/relationships/hyperlink" Target="http://www.quiethealingcenter.info" TargetMode="External"/><Relationship Id="rId108" Type="http://schemas.openxmlformats.org/officeDocument/2006/relationships/hyperlink" Target="http://www.earth-auroville.com" TargetMode="External"/><Relationship Id="rId48" Type="http://schemas.openxmlformats.org/officeDocument/2006/relationships/hyperlink" Target="https://drive.google.com/file/d/1ds-3mnPYdD9NWVyujZ-SJpDjjeTrkGRM/view?usp=drivesdk" TargetMode="External"/><Relationship Id="rId47" Type="http://schemas.openxmlformats.org/officeDocument/2006/relationships/hyperlink" Target="http://www.quiethealingcenter.info" TargetMode="External"/><Relationship Id="rId49" Type="http://schemas.openxmlformats.org/officeDocument/2006/relationships/hyperlink" Target="https://drive.google.com/file/d/1hAR5x9g7Bi4AbusKOhUcsiItGF6bmw2w/view?usp=drivesdk" TargetMode="External"/><Relationship Id="rId103" Type="http://schemas.openxmlformats.org/officeDocument/2006/relationships/hyperlink" Target="http://www.verite.in" TargetMode="External"/><Relationship Id="rId102" Type="http://schemas.openxmlformats.org/officeDocument/2006/relationships/hyperlink" Target="http://www.verite.in" TargetMode="External"/><Relationship Id="rId101" Type="http://schemas.openxmlformats.org/officeDocument/2006/relationships/hyperlink" Target="http://www.verite.in" TargetMode="External"/><Relationship Id="rId100" Type="http://schemas.openxmlformats.org/officeDocument/2006/relationships/hyperlink" Target="http://www.verite.in" TargetMode="External"/><Relationship Id="rId31" Type="http://schemas.openxmlformats.org/officeDocument/2006/relationships/hyperlink" Target="https://drive.google.com/file/d/1I7Jf5Y0dgbjwV6pD72tgeVNGKTHVKbKs/view?usp=drivesdk" TargetMode="External"/><Relationship Id="rId30" Type="http://schemas.openxmlformats.org/officeDocument/2006/relationships/hyperlink" Target="https://maps.app.goo.gl/zEUnDTm3WDfc3P5S6" TargetMode="External"/><Relationship Id="rId33" Type="http://schemas.openxmlformats.org/officeDocument/2006/relationships/hyperlink" Target="http://pitanga.auroville.org" TargetMode="External"/><Relationship Id="rId32" Type="http://schemas.openxmlformats.org/officeDocument/2006/relationships/hyperlink" Target="mailto:info@pitanga.in" TargetMode="External"/><Relationship Id="rId35" Type="http://schemas.openxmlformats.org/officeDocument/2006/relationships/hyperlink" Target="https://drive.google.com/file/d/1hAR5x9g7Bi4AbusKOhUcsiItGF6bmw2w/view?usp=drivesdk" TargetMode="External"/><Relationship Id="rId34" Type="http://schemas.openxmlformats.org/officeDocument/2006/relationships/hyperlink" Target="https://drive.google.com/file/d/10wuy_C_ipOHZCP3_eB3YiMs4hacQ5kb4/view?usp=drivesdk" TargetMode="External"/><Relationship Id="rId37" Type="http://schemas.openxmlformats.org/officeDocument/2006/relationships/hyperlink" Target="https://www.innersightav.org/8weekmbsr" TargetMode="External"/><Relationship Id="rId36" Type="http://schemas.openxmlformats.org/officeDocument/2006/relationships/hyperlink" Target="https://drive.google.com/file/d/1C5udri70a1YGi4FmncNWgi6gJpRGChEI/view?usp=drivesdk" TargetMode="External"/><Relationship Id="rId39" Type="http://schemas.openxmlformats.org/officeDocument/2006/relationships/hyperlink" Target="https://drive.google.com/file/d/1Armm-yuR-j6tIdv2YVjG-cOh6TThWR7z/view?usp=drivesdk" TargetMode="External"/><Relationship Id="rId38" Type="http://schemas.openxmlformats.org/officeDocument/2006/relationships/hyperlink" Target="mailto:info@aurovillelanguagelab.org" TargetMode="External"/><Relationship Id="rId20" Type="http://schemas.openxmlformats.org/officeDocument/2006/relationships/hyperlink" Target="https://drive.google.com/file/d/1IMp9x0_GBW_3lNyLeihj0PBZjM4hx2_L/view?usp=drivesdk" TargetMode="External"/><Relationship Id="rId22" Type="http://schemas.openxmlformats.org/officeDocument/2006/relationships/hyperlink" Target="mailto:info@pitanga.in" TargetMode="External"/><Relationship Id="rId21" Type="http://schemas.openxmlformats.org/officeDocument/2006/relationships/hyperlink" Target="https://drive.google.com/file/d/1IMp9x0_GBW_3lNyLeihj0PBZjM4hx2_L/view?usp=drivesdk" TargetMode="External"/><Relationship Id="rId24" Type="http://schemas.openxmlformats.org/officeDocument/2006/relationships/hyperlink" Target="https://drive.google.com/file/d/1DNCDN9TzhdDvkGWxqHn1dZbM7wf22YVL/view?usp=drivesdk" TargetMode="External"/><Relationship Id="rId23" Type="http://schemas.openxmlformats.org/officeDocument/2006/relationships/hyperlink" Target="https://asrmodel.com" TargetMode="External"/><Relationship Id="rId129" Type="http://schemas.openxmlformats.org/officeDocument/2006/relationships/drawing" Target="../drawings/drawing1.xml"/><Relationship Id="rId128" Type="http://schemas.openxmlformats.org/officeDocument/2006/relationships/hyperlink" Target="http://www.kolamyoga.com" TargetMode="External"/><Relationship Id="rId127" Type="http://schemas.openxmlformats.org/officeDocument/2006/relationships/hyperlink" Target="https://aurovillelanguagelab.org/registration/" TargetMode="External"/><Relationship Id="rId126" Type="http://schemas.openxmlformats.org/officeDocument/2006/relationships/hyperlink" Target="https://www.aurovillelanguagelab.org/alfred-tomatis-method/" TargetMode="External"/><Relationship Id="rId26" Type="http://schemas.openxmlformats.org/officeDocument/2006/relationships/hyperlink" Target="http://itmatters.auroville.org" TargetMode="External"/><Relationship Id="rId121" Type="http://schemas.openxmlformats.org/officeDocument/2006/relationships/hyperlink" Target="https://solitude.farm/workshop/" TargetMode="External"/><Relationship Id="rId25" Type="http://schemas.openxmlformats.org/officeDocument/2006/relationships/hyperlink" Target="mailto:itmatters@auroville.org.in" TargetMode="External"/><Relationship Id="rId120" Type="http://schemas.openxmlformats.org/officeDocument/2006/relationships/hyperlink" Target="https://svaram.org/sound-healing-sessions/" TargetMode="External"/><Relationship Id="rId28" Type="http://schemas.openxmlformats.org/officeDocument/2006/relationships/hyperlink" Target="http://innersightav.org" TargetMode="External"/><Relationship Id="rId27" Type="http://schemas.openxmlformats.org/officeDocument/2006/relationships/hyperlink" Target="https://drive.google.com/file/d/1j20idXVAdR-JFClKS0EpsQBg5hAzhdev/view?usp=drive_link" TargetMode="External"/><Relationship Id="rId125" Type="http://schemas.openxmlformats.org/officeDocument/2006/relationships/hyperlink" Target="https://spiritandnature.org.in" TargetMode="External"/><Relationship Id="rId29" Type="http://schemas.openxmlformats.org/officeDocument/2006/relationships/hyperlink" Target="https://drive.google.com/file/d/1qAg0BnawK5_rXbibBUsXEbJvpnkLNFqF/view?usp=drivesdk" TargetMode="External"/><Relationship Id="rId124" Type="http://schemas.openxmlformats.org/officeDocument/2006/relationships/hyperlink" Target="https://youtu.be/DvxK5KR6u3M?si=cOdDK2YbtPs-ErYG" TargetMode="External"/><Relationship Id="rId123" Type="http://schemas.openxmlformats.org/officeDocument/2006/relationships/hyperlink" Target="http://www.innersightav.org" TargetMode="External"/><Relationship Id="rId122" Type="http://schemas.openxmlformats.org/officeDocument/2006/relationships/hyperlink" Target="http://innersightav.org" TargetMode="External"/><Relationship Id="rId95" Type="http://schemas.openxmlformats.org/officeDocument/2006/relationships/hyperlink" Target="http://www.verite.in" TargetMode="External"/><Relationship Id="rId94" Type="http://schemas.openxmlformats.org/officeDocument/2006/relationships/hyperlink" Target="http://www.verite.in" TargetMode="External"/><Relationship Id="rId97" Type="http://schemas.openxmlformats.org/officeDocument/2006/relationships/hyperlink" Target="http://www.verite.in" TargetMode="External"/><Relationship Id="rId96" Type="http://schemas.openxmlformats.org/officeDocument/2006/relationships/hyperlink" Target="http://www.verite.in" TargetMode="External"/><Relationship Id="rId11" Type="http://schemas.openxmlformats.org/officeDocument/2006/relationships/hyperlink" Target="https://drive.google.com/file/d/10Tq9aNwRv7vL6u4OF5yt426rMAT_2fUU/view?usp=drivesdk" TargetMode="External"/><Relationship Id="rId99" Type="http://schemas.openxmlformats.org/officeDocument/2006/relationships/hyperlink" Target="http://www.verite.in" TargetMode="External"/><Relationship Id="rId10" Type="http://schemas.openxmlformats.org/officeDocument/2006/relationships/hyperlink" Target="http://pitanga.auroville.org" TargetMode="External"/><Relationship Id="rId98" Type="http://schemas.openxmlformats.org/officeDocument/2006/relationships/hyperlink" Target="http://www.verite.in" TargetMode="External"/><Relationship Id="rId13" Type="http://schemas.openxmlformats.org/officeDocument/2006/relationships/hyperlink" Target="https://drive.google.com/file/d/1hAR5x9g7Bi4AbusKOhUcsiItGF6bmw2w/view?usp=drivesdk" TargetMode="External"/><Relationship Id="rId12" Type="http://schemas.openxmlformats.org/officeDocument/2006/relationships/hyperlink" Target="https://drive.google.com/file/d/1ds-3mnPYdD9NWVyujZ-SJpDjjeTrkGRM/view?usp=drivesdk" TargetMode="External"/><Relationship Id="rId91" Type="http://schemas.openxmlformats.org/officeDocument/2006/relationships/hyperlink" Target="http://sitaramunay-kiyoga.org" TargetMode="External"/><Relationship Id="rId90" Type="http://schemas.openxmlformats.org/officeDocument/2006/relationships/hyperlink" Target="http://sitaramunay-kiyoga.org" TargetMode="External"/><Relationship Id="rId93" Type="http://schemas.openxmlformats.org/officeDocument/2006/relationships/hyperlink" Target="http://www.verite.in" TargetMode="External"/><Relationship Id="rId92" Type="http://schemas.openxmlformats.org/officeDocument/2006/relationships/hyperlink" Target="http://sitaramunay-kiyoga.org" TargetMode="External"/><Relationship Id="rId118" Type="http://schemas.openxmlformats.org/officeDocument/2006/relationships/hyperlink" Target="http://www.quiethealingcenter.info" TargetMode="External"/><Relationship Id="rId117" Type="http://schemas.openxmlformats.org/officeDocument/2006/relationships/hyperlink" Target="http://www.quiethealingcenter.info" TargetMode="External"/><Relationship Id="rId116" Type="http://schemas.openxmlformats.org/officeDocument/2006/relationships/hyperlink" Target="https://tinyurl.com/42s3jn37" TargetMode="External"/><Relationship Id="rId115" Type="http://schemas.openxmlformats.org/officeDocument/2006/relationships/hyperlink" Target="http://www.quiethealingcenter.info" TargetMode="External"/><Relationship Id="rId119" Type="http://schemas.openxmlformats.org/officeDocument/2006/relationships/hyperlink" Target="https://tinyurl.com/42s3jn37" TargetMode="External"/><Relationship Id="rId15" Type="http://schemas.openxmlformats.org/officeDocument/2006/relationships/hyperlink" Target="https://drive.google.com/file/d/1ds-3mnPYdD9NWVyujZ-SJpDjjeTrkGRM/view?usp=drivesdk" TargetMode="External"/><Relationship Id="rId110" Type="http://schemas.openxmlformats.org/officeDocument/2006/relationships/hyperlink" Target="https://forms.gle/JCTVRz8HAAJ8s3c8A" TargetMode="External"/><Relationship Id="rId14" Type="http://schemas.openxmlformats.org/officeDocument/2006/relationships/hyperlink" Target="https://drive.google.com/file/d/1-vNrAO3GgcVJtjlXvP5Of7VqUysSAUqI/view?usp=drivesdk" TargetMode="External"/><Relationship Id="rId17" Type="http://schemas.openxmlformats.org/officeDocument/2006/relationships/hyperlink" Target="http://www.tasmaipondy.com/" TargetMode="External"/><Relationship Id="rId16" Type="http://schemas.openxmlformats.org/officeDocument/2006/relationships/hyperlink" Target="mailto:tasmaipondy@gmail.com" TargetMode="External"/><Relationship Id="rId19" Type="http://schemas.openxmlformats.org/officeDocument/2006/relationships/hyperlink" Target="https://drive.google.com/file/d/1hAR5x9g7Bi4AbusKOhUcsiItGF6bmw2w/view?usp=drivesdk" TargetMode="External"/><Relationship Id="rId114" Type="http://schemas.openxmlformats.org/officeDocument/2006/relationships/hyperlink" Target="http://www.aurovillebamboocentre.org" TargetMode="External"/><Relationship Id="rId18" Type="http://schemas.openxmlformats.org/officeDocument/2006/relationships/hyperlink" Target="https://drive.google.com/file/d/1uzIyRffb0Um7W5bRNRrx2uUzOXsWDFbo/view?usp=drivesdk" TargetMode="External"/><Relationship Id="rId113" Type="http://schemas.openxmlformats.org/officeDocument/2006/relationships/hyperlink" Target="http://www.quiethealingcenter.info" TargetMode="External"/><Relationship Id="rId112" Type="http://schemas.openxmlformats.org/officeDocument/2006/relationships/hyperlink" Target="http://innersightav.org" TargetMode="External"/><Relationship Id="rId111" Type="http://schemas.openxmlformats.org/officeDocument/2006/relationships/hyperlink" Target="http://www.aurovillesports.in" TargetMode="External"/><Relationship Id="rId84" Type="http://schemas.openxmlformats.org/officeDocument/2006/relationships/hyperlink" Target="http://www.aurovillebamboocentre.org" TargetMode="External"/><Relationship Id="rId83" Type="http://schemas.openxmlformats.org/officeDocument/2006/relationships/hyperlink" Target="http://www.aurovillebamboocentre.org" TargetMode="External"/><Relationship Id="rId86" Type="http://schemas.openxmlformats.org/officeDocument/2006/relationships/hyperlink" Target="http://www.aurovillebamboocentre.org" TargetMode="External"/><Relationship Id="rId85" Type="http://schemas.openxmlformats.org/officeDocument/2006/relationships/hyperlink" Target="http://www.aurovillebamboocentre.org" TargetMode="External"/><Relationship Id="rId88" Type="http://schemas.openxmlformats.org/officeDocument/2006/relationships/hyperlink" Target="http://www.auromode.in/hive-coworking" TargetMode="External"/><Relationship Id="rId87" Type="http://schemas.openxmlformats.org/officeDocument/2006/relationships/hyperlink" Target="http://www.aurovillebamboocentre.org" TargetMode="External"/><Relationship Id="rId89" Type="http://schemas.openxmlformats.org/officeDocument/2006/relationships/hyperlink" Target="http://sitaramunay-kiyoga.org" TargetMode="External"/><Relationship Id="rId80" Type="http://schemas.openxmlformats.org/officeDocument/2006/relationships/hyperlink" Target="http://www.aurovillebamboocentre.org" TargetMode="External"/><Relationship Id="rId82" Type="http://schemas.openxmlformats.org/officeDocument/2006/relationships/hyperlink" Target="http://www.aurovillebamboocentre.org" TargetMode="External"/><Relationship Id="rId81" Type="http://schemas.openxmlformats.org/officeDocument/2006/relationships/hyperlink" Target="http://www.aurovillebamboocentre.org" TargetMode="External"/><Relationship Id="rId1" Type="http://schemas.openxmlformats.org/officeDocument/2006/relationships/hyperlink" Target="mailto:manager@aurodhan.com" TargetMode="External"/><Relationship Id="rId2" Type="http://schemas.openxmlformats.org/officeDocument/2006/relationships/hyperlink" Target="http://www.aurodhan.com/" TargetMode="External"/><Relationship Id="rId3" Type="http://schemas.openxmlformats.org/officeDocument/2006/relationships/hyperlink" Target="https://drive.google.com/file/d/1mOGV-BVZOkqYw_PIPyC1dKZQZL_RFOyO/view?usp=drivesdk" TargetMode="External"/><Relationship Id="rId4" Type="http://schemas.openxmlformats.org/officeDocument/2006/relationships/hyperlink" Target="https://drive.google.com/file/d/1ds-3mnPYdD9NWVyujZ-SJpDjjeTrkGRM/view?usp=drivesdk" TargetMode="External"/><Relationship Id="rId9" Type="http://schemas.openxmlformats.org/officeDocument/2006/relationships/hyperlink" Target="mailto:info@pitanga.in" TargetMode="External"/><Relationship Id="rId5" Type="http://schemas.openxmlformats.org/officeDocument/2006/relationships/hyperlink" Target="https://drive.google.com/file/d/1hAR5x9g7Bi4AbusKOhUcsiItGF6bmw2w/view?usp=drivesdk" TargetMode="External"/><Relationship Id="rId6" Type="http://schemas.openxmlformats.org/officeDocument/2006/relationships/hyperlink" Target="mailto:tasmaipondy@gmail.com" TargetMode="External"/><Relationship Id="rId7" Type="http://schemas.openxmlformats.org/officeDocument/2006/relationships/hyperlink" Target="http://www.tasmaipondy.com/" TargetMode="External"/><Relationship Id="rId8" Type="http://schemas.openxmlformats.org/officeDocument/2006/relationships/hyperlink" Target="https://drive.google.com/file/d/1t0u-sldvAsvjIhZQrBx66BQBuvvTu7Xy/view?usp=drivesdk" TargetMode="External"/><Relationship Id="rId73" Type="http://schemas.openxmlformats.org/officeDocument/2006/relationships/hyperlink" Target="https://drive.google.com/file/d/1DFOa-jsUCGpekvtAjoBN6asRAByWQKRD/view?usp=drivesdk" TargetMode="External"/><Relationship Id="rId72" Type="http://schemas.openxmlformats.org/officeDocument/2006/relationships/hyperlink" Target="https://drive.google.com/file/d/1S0DoXQp3-nAPIayk-MKFCDPjL7R8N0pl/view?usp=drivesdk" TargetMode="External"/><Relationship Id="rId75" Type="http://schemas.openxmlformats.org/officeDocument/2006/relationships/hyperlink" Target="https://drive.google.com/file/d/1u1mzGWY0GqEZbrfASAB386TlEWP8RNCh/view?usp=drivesdk" TargetMode="External"/><Relationship Id="rId74" Type="http://schemas.openxmlformats.org/officeDocument/2006/relationships/hyperlink" Target="https://maps.app.goo.gl/kmXUucYxt9UD2aCE6" TargetMode="External"/><Relationship Id="rId77" Type="http://schemas.openxmlformats.org/officeDocument/2006/relationships/hyperlink" Target="http://www.aurovillebamboocentre.org" TargetMode="External"/><Relationship Id="rId76" Type="http://schemas.openxmlformats.org/officeDocument/2006/relationships/hyperlink" Target="https://drive.google.com/file/d/1FAzA0v-DGJTMVQlikIRmEfMawBFuipG9/view?usp=drivesdk" TargetMode="External"/><Relationship Id="rId79" Type="http://schemas.openxmlformats.org/officeDocument/2006/relationships/hyperlink" Target="http://www.aurovillebamboocentre.org" TargetMode="External"/><Relationship Id="rId78" Type="http://schemas.openxmlformats.org/officeDocument/2006/relationships/hyperlink" Target="http://www.aurovillebamboocentre.org" TargetMode="External"/><Relationship Id="rId71" Type="http://schemas.openxmlformats.org/officeDocument/2006/relationships/hyperlink" Target="mailto:sadhanaforest@auroville.org.in" TargetMode="External"/><Relationship Id="rId70" Type="http://schemas.openxmlformats.org/officeDocument/2006/relationships/hyperlink" Target="https://drive.google.com/file/d/1NQhtR8eM7h03lTd3dZKgPYrdJHIafL2m/view?usp=drivesdk" TargetMode="External"/><Relationship Id="rId62" Type="http://schemas.openxmlformats.org/officeDocument/2006/relationships/hyperlink" Target="https://drive.google.com/file/d/1uyli2WFssQh_RTRaQEJbb1nxmWfasiea/view?usp=drivesdk" TargetMode="External"/><Relationship Id="rId61" Type="http://schemas.openxmlformats.org/officeDocument/2006/relationships/hyperlink" Target="http://www.auroville-jiva.com" TargetMode="External"/><Relationship Id="rId64" Type="http://schemas.openxmlformats.org/officeDocument/2006/relationships/hyperlink" Target="http://www.auroville-jiva.com" TargetMode="External"/><Relationship Id="rId63" Type="http://schemas.openxmlformats.org/officeDocument/2006/relationships/hyperlink" Target="mailto:contact@auroville-jiva.com" TargetMode="External"/><Relationship Id="rId66" Type="http://schemas.openxmlformats.org/officeDocument/2006/relationships/hyperlink" Target="mailto:contact@auroville-jiva.com" TargetMode="External"/><Relationship Id="rId65" Type="http://schemas.openxmlformats.org/officeDocument/2006/relationships/hyperlink" Target="https://drive.google.com/file/d/1uyli2WFssQh_RTRaQEJbb1nxmWfasiea/view?usp=drivesdk" TargetMode="External"/><Relationship Id="rId68" Type="http://schemas.openxmlformats.org/officeDocument/2006/relationships/hyperlink" Target="https://drive.google.com/file/d/1uyli2WFssQh_RTRaQEJbb1nxmWfasiea/view?usp=drivesdk" TargetMode="External"/><Relationship Id="rId67" Type="http://schemas.openxmlformats.org/officeDocument/2006/relationships/hyperlink" Target="http://www.auroville-jiva.com" TargetMode="External"/><Relationship Id="rId60" Type="http://schemas.openxmlformats.org/officeDocument/2006/relationships/hyperlink" Target="mailto:contact@auroville-jiva.com" TargetMode="External"/><Relationship Id="rId69" Type="http://schemas.openxmlformats.org/officeDocument/2006/relationships/hyperlink" Target="https://drive.google.com/file/d/1_cE3S0TqX9iOuM4BIeC3eXXruzMIltrb/view?usp=drivesdk" TargetMode="External"/><Relationship Id="rId51" Type="http://schemas.openxmlformats.org/officeDocument/2006/relationships/hyperlink" Target="https://drive.google.com/file/d/1ds-3mnPYdD9NWVyujZ-SJpDjjeTrkGRM/view?usp=drivesdk" TargetMode="External"/><Relationship Id="rId50" Type="http://schemas.openxmlformats.org/officeDocument/2006/relationships/hyperlink" Target="https://drive.google.com/file/d/1eVohUuRX1m6KJ6B8U4Vg10_-bJVyyjqO/view?usp=drivesdk" TargetMode="External"/><Relationship Id="rId53" Type="http://schemas.openxmlformats.org/officeDocument/2006/relationships/hyperlink" Target="https://drive.google.com/file/d/1kPQ0GLZcUd4wrv4iNSz-_uFbUsQUDGF4/view?usp=drivesdk" TargetMode="External"/><Relationship Id="rId52" Type="http://schemas.openxmlformats.org/officeDocument/2006/relationships/hyperlink" Target="https://drive.google.com/file/d/1cC7RZBsfFMkdrGFmlkyDlpI81AwOJUM_/view?usp=drivesdk" TargetMode="External"/><Relationship Id="rId55" Type="http://schemas.openxmlformats.org/officeDocument/2006/relationships/hyperlink" Target="https://drive.google.com/file/d/1GZYWiVVHVV_cMEIZwt5235kByH1p8Pzu/view?usp=drivesdk" TargetMode="External"/><Relationship Id="rId54" Type="http://schemas.openxmlformats.org/officeDocument/2006/relationships/hyperlink" Target="mailto:mohanamprogram@auroville.org.in" TargetMode="External"/><Relationship Id="rId57" Type="http://schemas.openxmlformats.org/officeDocument/2006/relationships/hyperlink" Target="mailto:kardash@auroville.org.in" TargetMode="External"/><Relationship Id="rId56" Type="http://schemas.openxmlformats.org/officeDocument/2006/relationships/hyperlink" Target="https://share.google/UIdcgjlIlukyrhjcA" TargetMode="External"/><Relationship Id="rId59" Type="http://schemas.openxmlformats.org/officeDocument/2006/relationships/hyperlink" Target="https://drive.google.com/file/d/1bJl5rtMXTeOkQatzuiOMDizxY-z5UGvO/view?usp=drivesdk" TargetMode="External"/><Relationship Id="rId58" Type="http://schemas.openxmlformats.org/officeDocument/2006/relationships/hyperlink" Target="http://www.innersightav.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8.71"/>
    <col customWidth="1" min="3" max="3" width="23.43"/>
    <col customWidth="1" min="4" max="4" width="23.86"/>
    <col customWidth="1" min="5" max="6" width="8.71"/>
    <col customWidth="1" min="7" max="7" width="18.57"/>
    <col customWidth="1" min="8" max="8" width="8.71"/>
    <col customWidth="1" min="9" max="9" width="20.57"/>
    <col customWidth="1" min="10" max="10" width="13.71"/>
    <col customWidth="1" min="11" max="13" width="8.71"/>
    <col customWidth="1" min="14" max="14" width="16.43"/>
    <col customWidth="1" min="15" max="15" width="18.71"/>
    <col customWidth="1" min="1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c r="A2" s="3" t="s">
        <v>18</v>
      </c>
      <c r="B2" s="3" t="s">
        <v>19</v>
      </c>
      <c r="C2" s="4">
        <v>45924.0</v>
      </c>
      <c r="D2" s="3" t="s">
        <v>20</v>
      </c>
      <c r="E2" s="5">
        <v>0.8125</v>
      </c>
      <c r="F2" s="3" t="s">
        <v>21</v>
      </c>
      <c r="G2" s="3" t="s">
        <v>22</v>
      </c>
      <c r="H2" s="3" t="s">
        <v>23</v>
      </c>
      <c r="I2" s="3" t="s">
        <v>24</v>
      </c>
      <c r="J2" s="6" t="s">
        <v>25</v>
      </c>
      <c r="K2" s="2"/>
      <c r="L2" s="3" t="s">
        <v>26</v>
      </c>
      <c r="M2" s="7" t="s">
        <v>27</v>
      </c>
      <c r="N2" s="3" t="s">
        <v>28</v>
      </c>
      <c r="O2" s="7" t="s">
        <v>29</v>
      </c>
      <c r="P2" s="3" t="s">
        <v>30</v>
      </c>
      <c r="Q2" s="8">
        <v>45921.0</v>
      </c>
      <c r="R2" s="9" t="s">
        <v>31</v>
      </c>
      <c r="S2" s="2"/>
      <c r="T2" s="2"/>
      <c r="U2" s="2"/>
      <c r="V2" s="2"/>
      <c r="W2" s="2"/>
      <c r="X2" s="2"/>
      <c r="Y2" s="2"/>
      <c r="Z2" s="2"/>
    </row>
    <row r="3">
      <c r="A3" s="3" t="s">
        <v>32</v>
      </c>
      <c r="B3" s="3" t="s">
        <v>33</v>
      </c>
      <c r="C3" s="4">
        <v>45924.0</v>
      </c>
      <c r="D3" s="3" t="s">
        <v>20</v>
      </c>
      <c r="E3" s="5">
        <v>0.8125</v>
      </c>
      <c r="F3" s="3" t="s">
        <v>34</v>
      </c>
      <c r="G3" s="9" t="s">
        <v>35</v>
      </c>
      <c r="H3" s="2"/>
      <c r="I3" s="2"/>
      <c r="J3" s="2"/>
      <c r="K3" s="2"/>
      <c r="L3" s="9" t="s">
        <v>26</v>
      </c>
      <c r="M3" s="2"/>
      <c r="N3" s="3" t="s">
        <v>36</v>
      </c>
      <c r="O3" s="7" t="s">
        <v>37</v>
      </c>
      <c r="P3" s="3" t="s">
        <v>38</v>
      </c>
      <c r="Q3" s="8">
        <v>45921.0</v>
      </c>
      <c r="R3" s="9" t="s">
        <v>31</v>
      </c>
      <c r="S3" s="2"/>
      <c r="T3" s="2"/>
      <c r="U3" s="2"/>
      <c r="V3" s="2"/>
      <c r="W3" s="2"/>
      <c r="X3" s="2"/>
      <c r="Y3" s="2"/>
      <c r="Z3" s="2"/>
    </row>
    <row r="4">
      <c r="A4" s="3" t="s">
        <v>39</v>
      </c>
      <c r="B4" s="3" t="s">
        <v>40</v>
      </c>
      <c r="C4" s="4">
        <v>45931.0</v>
      </c>
      <c r="D4" s="3" t="s">
        <v>20</v>
      </c>
      <c r="E4" s="5">
        <v>0.8125</v>
      </c>
      <c r="F4" s="3" t="s">
        <v>34</v>
      </c>
      <c r="G4" s="9" t="s">
        <v>41</v>
      </c>
      <c r="H4" s="2"/>
      <c r="I4" s="2"/>
      <c r="J4" s="2"/>
      <c r="K4" s="2"/>
      <c r="L4" s="9" t="s">
        <v>26</v>
      </c>
      <c r="M4" s="2"/>
      <c r="N4" s="3" t="s">
        <v>42</v>
      </c>
      <c r="O4" s="7" t="s">
        <v>43</v>
      </c>
      <c r="P4" s="3" t="s">
        <v>38</v>
      </c>
      <c r="Q4" s="8">
        <v>45921.0</v>
      </c>
      <c r="R4" s="9" t="s">
        <v>31</v>
      </c>
      <c r="S4" s="2"/>
      <c r="T4" s="2"/>
      <c r="U4" s="2"/>
      <c r="V4" s="2"/>
      <c r="W4" s="2"/>
      <c r="X4" s="2"/>
      <c r="Y4" s="2"/>
      <c r="Z4" s="2"/>
    </row>
    <row r="5">
      <c r="A5" s="3" t="s">
        <v>44</v>
      </c>
      <c r="B5" s="3" t="s">
        <v>45</v>
      </c>
      <c r="C5" s="3" t="s">
        <v>46</v>
      </c>
      <c r="D5" s="3" t="s">
        <v>47</v>
      </c>
      <c r="E5" s="3" t="s">
        <v>48</v>
      </c>
      <c r="F5" s="3" t="s">
        <v>49</v>
      </c>
      <c r="G5" s="9" t="s">
        <v>50</v>
      </c>
      <c r="H5" s="2"/>
      <c r="I5" s="10">
        <v>4.132221052E9</v>
      </c>
      <c r="J5" s="6" t="s">
        <v>51</v>
      </c>
      <c r="K5" s="2"/>
      <c r="L5" s="3" t="s">
        <v>26</v>
      </c>
      <c r="M5" s="7" t="s">
        <v>52</v>
      </c>
      <c r="N5" s="3" t="s">
        <v>53</v>
      </c>
      <c r="O5" s="7" t="s">
        <v>54</v>
      </c>
      <c r="P5" s="3" t="s">
        <v>30</v>
      </c>
      <c r="Q5" s="8">
        <v>45921.0</v>
      </c>
      <c r="R5" s="9" t="s">
        <v>31</v>
      </c>
      <c r="S5" s="2"/>
      <c r="T5" s="2"/>
      <c r="U5" s="2"/>
      <c r="V5" s="2"/>
      <c r="W5" s="2"/>
      <c r="X5" s="2"/>
      <c r="Y5" s="2"/>
      <c r="Z5" s="2"/>
    </row>
    <row r="6">
      <c r="A6" s="3" t="s">
        <v>55</v>
      </c>
      <c r="B6" s="3" t="s">
        <v>56</v>
      </c>
      <c r="C6" s="4">
        <v>45937.0</v>
      </c>
      <c r="D6" s="3" t="s">
        <v>47</v>
      </c>
      <c r="E6" s="3" t="s">
        <v>57</v>
      </c>
      <c r="F6" s="3" t="s">
        <v>58</v>
      </c>
      <c r="G6" s="3" t="s">
        <v>59</v>
      </c>
      <c r="H6" s="3" t="s">
        <v>60</v>
      </c>
      <c r="I6" s="3" t="s">
        <v>61</v>
      </c>
      <c r="J6" s="6" t="s">
        <v>62</v>
      </c>
      <c r="K6" s="2"/>
      <c r="L6" s="3" t="s">
        <v>63</v>
      </c>
      <c r="M6" s="7" t="s">
        <v>64</v>
      </c>
      <c r="N6" s="3" t="s">
        <v>65</v>
      </c>
      <c r="O6" s="7" t="s">
        <v>66</v>
      </c>
      <c r="P6" s="3" t="s">
        <v>30</v>
      </c>
      <c r="Q6" s="8">
        <v>45921.0</v>
      </c>
      <c r="R6" s="9" t="s">
        <v>31</v>
      </c>
      <c r="S6" s="2"/>
      <c r="T6" s="2"/>
      <c r="U6" s="2"/>
      <c r="V6" s="2"/>
      <c r="W6" s="2"/>
      <c r="X6" s="2"/>
      <c r="Y6" s="2"/>
      <c r="Z6" s="2"/>
    </row>
    <row r="7">
      <c r="A7" s="3" t="s">
        <v>67</v>
      </c>
      <c r="B7" s="3" t="s">
        <v>68</v>
      </c>
      <c r="C7" s="4">
        <v>45923.0</v>
      </c>
      <c r="D7" s="3" t="s">
        <v>47</v>
      </c>
      <c r="E7" s="5">
        <v>0.8125</v>
      </c>
      <c r="F7" s="3" t="s">
        <v>34</v>
      </c>
      <c r="G7" s="9" t="s">
        <v>69</v>
      </c>
      <c r="H7" s="2"/>
      <c r="I7" s="2"/>
      <c r="J7" s="2"/>
      <c r="K7" s="2"/>
      <c r="L7" s="9" t="s">
        <v>26</v>
      </c>
      <c r="M7" s="2"/>
      <c r="N7" s="3" t="s">
        <v>70</v>
      </c>
      <c r="O7" s="7" t="s">
        <v>37</v>
      </c>
      <c r="P7" s="3" t="s">
        <v>38</v>
      </c>
      <c r="Q7" s="8">
        <v>45921.0</v>
      </c>
      <c r="R7" s="9" t="s">
        <v>31</v>
      </c>
      <c r="S7" s="2"/>
      <c r="T7" s="2"/>
      <c r="U7" s="2"/>
      <c r="V7" s="2"/>
      <c r="W7" s="2"/>
      <c r="X7" s="2"/>
      <c r="Y7" s="2"/>
      <c r="Z7" s="2"/>
    </row>
    <row r="8">
      <c r="A8" s="3" t="s">
        <v>71</v>
      </c>
      <c r="B8" s="3" t="s">
        <v>72</v>
      </c>
      <c r="C8" s="4">
        <v>45930.0</v>
      </c>
      <c r="D8" s="3" t="s">
        <v>47</v>
      </c>
      <c r="E8" s="5">
        <v>0.8125</v>
      </c>
      <c r="F8" s="3" t="s">
        <v>34</v>
      </c>
      <c r="G8" s="9" t="s">
        <v>73</v>
      </c>
      <c r="H8" s="2"/>
      <c r="I8" s="2"/>
      <c r="J8" s="2"/>
      <c r="K8" s="2"/>
      <c r="L8" s="9" t="s">
        <v>26</v>
      </c>
      <c r="M8" s="2"/>
      <c r="N8" s="3" t="s">
        <v>74</v>
      </c>
      <c r="O8" s="7" t="s">
        <v>43</v>
      </c>
      <c r="P8" s="3" t="s">
        <v>38</v>
      </c>
      <c r="Q8" s="8">
        <v>45921.0</v>
      </c>
      <c r="R8" s="9" t="s">
        <v>31</v>
      </c>
      <c r="S8" s="2"/>
      <c r="T8" s="2"/>
      <c r="U8" s="2"/>
      <c r="V8" s="2"/>
      <c r="W8" s="2"/>
      <c r="X8" s="2"/>
      <c r="Y8" s="2"/>
      <c r="Z8" s="2"/>
    </row>
    <row r="9">
      <c r="A9" s="2" t="s">
        <v>75</v>
      </c>
      <c r="B9" s="2" t="s">
        <v>76</v>
      </c>
      <c r="C9" s="11">
        <v>45923.0</v>
      </c>
      <c r="D9" s="2" t="s">
        <v>47</v>
      </c>
      <c r="E9" s="2" t="s">
        <v>77</v>
      </c>
      <c r="F9" s="2" t="s">
        <v>78</v>
      </c>
      <c r="G9" s="2" t="s">
        <v>79</v>
      </c>
      <c r="H9" s="2" t="s">
        <v>80</v>
      </c>
      <c r="I9" s="2" t="s">
        <v>81</v>
      </c>
      <c r="J9" s="2" t="s">
        <v>80</v>
      </c>
      <c r="K9" s="2" t="s">
        <v>82</v>
      </c>
      <c r="L9" s="2" t="s">
        <v>83</v>
      </c>
      <c r="M9" s="2" t="s">
        <v>80</v>
      </c>
      <c r="N9" s="2" t="s">
        <v>84</v>
      </c>
      <c r="O9" s="12" t="s">
        <v>85</v>
      </c>
      <c r="P9" s="2"/>
      <c r="Q9" s="2"/>
      <c r="R9" s="2"/>
      <c r="S9" s="2"/>
      <c r="T9" s="2"/>
      <c r="U9" s="2"/>
      <c r="V9" s="2"/>
      <c r="W9" s="2"/>
      <c r="X9" s="2"/>
      <c r="Y9" s="2"/>
      <c r="Z9" s="2"/>
    </row>
    <row r="10">
      <c r="A10" s="3" t="s">
        <v>86</v>
      </c>
      <c r="B10" s="3" t="s">
        <v>87</v>
      </c>
      <c r="C10" s="4">
        <v>45925.0</v>
      </c>
      <c r="D10" s="3" t="s">
        <v>88</v>
      </c>
      <c r="E10" s="5">
        <v>0.8125</v>
      </c>
      <c r="F10" s="3" t="s">
        <v>34</v>
      </c>
      <c r="G10" s="9" t="s">
        <v>89</v>
      </c>
      <c r="H10" s="2"/>
      <c r="I10" s="2"/>
      <c r="J10" s="2"/>
      <c r="K10" s="2"/>
      <c r="L10" s="9" t="s">
        <v>26</v>
      </c>
      <c r="M10" s="2"/>
      <c r="N10" s="3" t="s">
        <v>90</v>
      </c>
      <c r="O10" s="7" t="s">
        <v>37</v>
      </c>
      <c r="P10" s="3" t="s">
        <v>38</v>
      </c>
      <c r="Q10" s="8">
        <v>45921.0</v>
      </c>
      <c r="R10" s="9" t="s">
        <v>31</v>
      </c>
      <c r="S10" s="2"/>
      <c r="T10" s="2"/>
      <c r="U10" s="2"/>
      <c r="V10" s="2"/>
      <c r="W10" s="2"/>
      <c r="X10" s="2"/>
      <c r="Y10" s="2"/>
      <c r="Z10" s="2"/>
    </row>
    <row r="11">
      <c r="A11" s="3" t="s">
        <v>91</v>
      </c>
      <c r="B11" s="3" t="s">
        <v>45</v>
      </c>
      <c r="C11" s="4">
        <v>45928.0</v>
      </c>
      <c r="D11" s="3" t="s">
        <v>92</v>
      </c>
      <c r="E11" s="3" t="s">
        <v>93</v>
      </c>
      <c r="F11" s="3" t="s">
        <v>94</v>
      </c>
      <c r="G11" s="3" t="s">
        <v>95</v>
      </c>
      <c r="H11" s="3" t="s">
        <v>96</v>
      </c>
      <c r="I11" s="10">
        <v>4.132221052E9</v>
      </c>
      <c r="J11" s="7" t="s">
        <v>97</v>
      </c>
      <c r="K11" s="3" t="s">
        <v>98</v>
      </c>
      <c r="L11" s="3" t="s">
        <v>26</v>
      </c>
      <c r="M11" s="7" t="s">
        <v>99</v>
      </c>
      <c r="N11" s="3" t="s">
        <v>100</v>
      </c>
      <c r="O11" s="7" t="s">
        <v>101</v>
      </c>
      <c r="P11" s="3" t="s">
        <v>30</v>
      </c>
      <c r="Q11" s="8">
        <v>45921.0</v>
      </c>
      <c r="R11" s="9" t="s">
        <v>31</v>
      </c>
      <c r="S11" s="2"/>
      <c r="T11" s="2"/>
      <c r="U11" s="2"/>
      <c r="V11" s="2"/>
      <c r="W11" s="2"/>
      <c r="X11" s="2"/>
      <c r="Y11" s="2"/>
      <c r="Z11" s="2"/>
    </row>
    <row r="12">
      <c r="A12" s="3" t="s">
        <v>102</v>
      </c>
      <c r="B12" s="3" t="s">
        <v>103</v>
      </c>
      <c r="C12" s="4">
        <v>45928.0</v>
      </c>
      <c r="D12" s="3" t="s">
        <v>92</v>
      </c>
      <c r="E12" s="5">
        <v>0.8125</v>
      </c>
      <c r="F12" s="3" t="s">
        <v>34</v>
      </c>
      <c r="G12" s="9" t="s">
        <v>104</v>
      </c>
      <c r="H12" s="2"/>
      <c r="I12" s="2"/>
      <c r="J12" s="2"/>
      <c r="K12" s="2"/>
      <c r="L12" s="9" t="s">
        <v>26</v>
      </c>
      <c r="M12" s="2"/>
      <c r="N12" s="3" t="s">
        <v>105</v>
      </c>
      <c r="O12" s="7" t="s">
        <v>43</v>
      </c>
      <c r="P12" s="3" t="s">
        <v>38</v>
      </c>
      <c r="Q12" s="8">
        <v>45921.0</v>
      </c>
      <c r="R12" s="9" t="s">
        <v>31</v>
      </c>
      <c r="S12" s="2"/>
      <c r="T12" s="2"/>
      <c r="U12" s="2"/>
      <c r="V12" s="2"/>
      <c r="W12" s="2"/>
      <c r="X12" s="2"/>
      <c r="Y12" s="2"/>
      <c r="Z12" s="2"/>
    </row>
    <row r="13" ht="15.75" customHeight="1">
      <c r="A13" s="2" t="s">
        <v>106</v>
      </c>
      <c r="B13" s="2" t="s">
        <v>107</v>
      </c>
      <c r="C13" s="11">
        <v>45928.0</v>
      </c>
      <c r="D13" s="2" t="s">
        <v>92</v>
      </c>
      <c r="E13" s="13">
        <v>0.7916666666666666</v>
      </c>
      <c r="F13" s="2" t="s">
        <v>108</v>
      </c>
      <c r="G13" s="14" t="s">
        <v>109</v>
      </c>
      <c r="H13" s="2"/>
      <c r="I13" s="2"/>
      <c r="J13" s="2"/>
      <c r="K13" s="2"/>
      <c r="L13" s="2"/>
      <c r="M13" s="2" t="s">
        <v>110</v>
      </c>
      <c r="N13" s="12" t="s">
        <v>111</v>
      </c>
      <c r="O13" s="2"/>
      <c r="P13" s="2"/>
      <c r="Q13" s="2"/>
      <c r="R13" s="2"/>
      <c r="S13" s="2"/>
      <c r="T13" s="2"/>
      <c r="U13" s="2"/>
      <c r="V13" s="2"/>
      <c r="W13" s="2"/>
      <c r="X13" s="2"/>
      <c r="Y13" s="2"/>
      <c r="Z13" s="2"/>
    </row>
    <row r="14" ht="15.75" customHeight="1">
      <c r="A14" s="2" t="s">
        <v>112</v>
      </c>
      <c r="B14" s="2" t="s">
        <v>113</v>
      </c>
      <c r="C14" s="11">
        <v>45928.0</v>
      </c>
      <c r="D14" s="2" t="s">
        <v>92</v>
      </c>
      <c r="E14" s="13">
        <v>0.7916666666666666</v>
      </c>
      <c r="F14" s="2" t="s">
        <v>108</v>
      </c>
      <c r="G14" s="2" t="s">
        <v>114</v>
      </c>
      <c r="H14" s="2" t="s">
        <v>80</v>
      </c>
      <c r="I14" s="2" t="s">
        <v>80</v>
      </c>
      <c r="J14" s="2" t="s">
        <v>80</v>
      </c>
      <c r="K14" s="2" t="s">
        <v>80</v>
      </c>
      <c r="L14" s="2" t="s">
        <v>26</v>
      </c>
      <c r="M14" s="2" t="s">
        <v>80</v>
      </c>
      <c r="N14" s="2" t="s">
        <v>115</v>
      </c>
      <c r="O14" s="12" t="s">
        <v>116</v>
      </c>
      <c r="P14" s="2"/>
      <c r="Q14" s="2"/>
      <c r="R14" s="2"/>
      <c r="S14" s="2"/>
      <c r="T14" s="2"/>
      <c r="U14" s="2"/>
      <c r="V14" s="2"/>
      <c r="W14" s="2"/>
      <c r="X14" s="2"/>
      <c r="Y14" s="2"/>
      <c r="Z14" s="2"/>
    </row>
    <row r="15" ht="15.75" customHeight="1">
      <c r="A15" s="3" t="s">
        <v>117</v>
      </c>
      <c r="B15" s="9" t="s">
        <v>118</v>
      </c>
      <c r="C15" s="2"/>
      <c r="D15" s="3" t="s">
        <v>119</v>
      </c>
      <c r="E15" s="3" t="s">
        <v>120</v>
      </c>
      <c r="F15" s="3" t="s">
        <v>121</v>
      </c>
      <c r="G15" s="9" t="s">
        <v>122</v>
      </c>
      <c r="H15" s="2"/>
      <c r="I15" s="3" t="s">
        <v>123</v>
      </c>
      <c r="J15" s="6" t="s">
        <v>124</v>
      </c>
      <c r="K15" s="2"/>
      <c r="L15" s="3" t="s">
        <v>125</v>
      </c>
      <c r="M15" s="7" t="s">
        <v>126</v>
      </c>
      <c r="N15" s="3" t="s">
        <v>127</v>
      </c>
      <c r="O15" s="7" t="s">
        <v>128</v>
      </c>
      <c r="P15" s="3" t="s">
        <v>30</v>
      </c>
      <c r="Q15" s="8">
        <v>45920.0</v>
      </c>
      <c r="R15" s="15">
        <v>0.4683333333333333</v>
      </c>
      <c r="S15" s="2"/>
      <c r="T15" s="2"/>
      <c r="U15" s="2"/>
      <c r="V15" s="2"/>
      <c r="W15" s="2"/>
      <c r="X15" s="2"/>
      <c r="Y15" s="2"/>
      <c r="Z15" s="2"/>
    </row>
    <row r="16" ht="15.75" customHeight="1">
      <c r="A16" s="3" t="s">
        <v>129</v>
      </c>
      <c r="B16" s="3" t="s">
        <v>130</v>
      </c>
      <c r="C16" s="2"/>
      <c r="D16" s="3" t="s">
        <v>119</v>
      </c>
      <c r="E16" s="3" t="s">
        <v>131</v>
      </c>
      <c r="F16" s="3" t="s">
        <v>132</v>
      </c>
      <c r="G16" s="3" t="s">
        <v>133</v>
      </c>
      <c r="H16" s="3" t="s">
        <v>134</v>
      </c>
      <c r="I16" s="10">
        <v>9.344087925E9</v>
      </c>
      <c r="J16" s="7" t="s">
        <v>135</v>
      </c>
      <c r="K16" s="3" t="s">
        <v>136</v>
      </c>
      <c r="L16" s="3" t="s">
        <v>137</v>
      </c>
      <c r="M16" s="7" t="s">
        <v>138</v>
      </c>
      <c r="N16" s="3" t="s">
        <v>139</v>
      </c>
      <c r="O16" s="7" t="s">
        <v>140</v>
      </c>
      <c r="P16" s="3" t="s">
        <v>30</v>
      </c>
      <c r="Q16" s="8">
        <v>45920.0</v>
      </c>
      <c r="R16" s="15">
        <v>0.47408564814814813</v>
      </c>
      <c r="S16" s="2"/>
      <c r="T16" s="2"/>
      <c r="U16" s="2"/>
      <c r="V16" s="2"/>
      <c r="W16" s="2"/>
      <c r="X16" s="2"/>
      <c r="Y16" s="2"/>
      <c r="Z16" s="2"/>
    </row>
    <row r="17" ht="15.75" customHeight="1">
      <c r="A17" s="3" t="s">
        <v>141</v>
      </c>
      <c r="B17" s="3" t="s">
        <v>142</v>
      </c>
      <c r="C17" s="4">
        <v>45927.0</v>
      </c>
      <c r="D17" s="3" t="s">
        <v>119</v>
      </c>
      <c r="E17" s="3" t="s">
        <v>143</v>
      </c>
      <c r="F17" s="3" t="s">
        <v>144</v>
      </c>
      <c r="G17" s="3" t="s">
        <v>145</v>
      </c>
      <c r="H17" s="3" t="s">
        <v>146</v>
      </c>
      <c r="I17" s="10">
        <v>7.094753054E9</v>
      </c>
      <c r="J17" s="2"/>
      <c r="K17" s="3" t="s">
        <v>147</v>
      </c>
      <c r="L17" s="3" t="s">
        <v>148</v>
      </c>
      <c r="M17" s="7" t="s">
        <v>149</v>
      </c>
      <c r="N17" s="3" t="s">
        <v>150</v>
      </c>
      <c r="O17" s="7" t="s">
        <v>151</v>
      </c>
      <c r="P17" s="3" t="s">
        <v>30</v>
      </c>
      <c r="Q17" s="8">
        <v>45921.0</v>
      </c>
      <c r="R17" s="9" t="s">
        <v>31</v>
      </c>
      <c r="S17" s="2"/>
      <c r="T17" s="2"/>
      <c r="U17" s="2"/>
      <c r="V17" s="2"/>
      <c r="W17" s="2"/>
      <c r="X17" s="2"/>
      <c r="Y17" s="2"/>
      <c r="Z17" s="2"/>
    </row>
    <row r="18" ht="15.75" customHeight="1">
      <c r="A18" s="3" t="s">
        <v>152</v>
      </c>
      <c r="B18" s="3" t="s">
        <v>153</v>
      </c>
      <c r="C18" s="4">
        <v>45927.0</v>
      </c>
      <c r="D18" s="3" t="s">
        <v>119</v>
      </c>
      <c r="E18" s="3" t="s">
        <v>154</v>
      </c>
      <c r="F18" s="3" t="s">
        <v>155</v>
      </c>
      <c r="G18" s="9" t="s">
        <v>156</v>
      </c>
      <c r="H18" s="2"/>
      <c r="I18" s="9" t="s">
        <v>157</v>
      </c>
      <c r="J18" s="2"/>
      <c r="K18" s="3" t="s">
        <v>158</v>
      </c>
      <c r="L18" s="3" t="s">
        <v>159</v>
      </c>
      <c r="M18" s="7" t="s">
        <v>160</v>
      </c>
      <c r="N18" s="3" t="s">
        <v>161</v>
      </c>
      <c r="O18" s="7" t="s">
        <v>162</v>
      </c>
      <c r="P18" s="3" t="s">
        <v>30</v>
      </c>
      <c r="Q18" s="8">
        <v>45921.0</v>
      </c>
      <c r="R18" s="9" t="s">
        <v>31</v>
      </c>
      <c r="S18" s="2"/>
      <c r="T18" s="2"/>
      <c r="U18" s="2"/>
      <c r="V18" s="2"/>
      <c r="W18" s="2"/>
      <c r="X18" s="2"/>
      <c r="Y18" s="2"/>
      <c r="Z18" s="2"/>
    </row>
    <row r="19" ht="15.75" customHeight="1">
      <c r="A19" s="3" t="s">
        <v>163</v>
      </c>
      <c r="B19" s="3" t="s">
        <v>164</v>
      </c>
      <c r="C19" s="4">
        <v>45941.0</v>
      </c>
      <c r="D19" s="3" t="s">
        <v>119</v>
      </c>
      <c r="E19" s="3" t="s">
        <v>57</v>
      </c>
      <c r="F19" s="3" t="s">
        <v>58</v>
      </c>
      <c r="G19" s="3" t="s">
        <v>165</v>
      </c>
      <c r="H19" s="3" t="s">
        <v>60</v>
      </c>
      <c r="I19" s="3" t="s">
        <v>61</v>
      </c>
      <c r="J19" s="6" t="s">
        <v>166</v>
      </c>
      <c r="K19" s="2"/>
      <c r="L19" s="3" t="s">
        <v>167</v>
      </c>
      <c r="M19" s="7" t="s">
        <v>64</v>
      </c>
      <c r="N19" s="3" t="s">
        <v>168</v>
      </c>
      <c r="O19" s="7" t="s">
        <v>169</v>
      </c>
      <c r="P19" s="3" t="s">
        <v>30</v>
      </c>
      <c r="Q19" s="8">
        <v>45921.0</v>
      </c>
      <c r="R19" s="9" t="s">
        <v>31</v>
      </c>
      <c r="S19" s="2"/>
      <c r="T19" s="2"/>
      <c r="U19" s="2"/>
      <c r="V19" s="2"/>
      <c r="W19" s="2"/>
      <c r="X19" s="2"/>
      <c r="Y19" s="2"/>
      <c r="Z19" s="2"/>
    </row>
    <row r="20" ht="15.75" customHeight="1">
      <c r="A20" s="3" t="s">
        <v>170</v>
      </c>
      <c r="B20" s="3" t="s">
        <v>171</v>
      </c>
      <c r="C20" s="4">
        <v>45927.0</v>
      </c>
      <c r="D20" s="3" t="s">
        <v>119</v>
      </c>
      <c r="E20" s="5">
        <v>0.8125</v>
      </c>
      <c r="F20" s="3" t="s">
        <v>34</v>
      </c>
      <c r="G20" s="9" t="s">
        <v>172</v>
      </c>
      <c r="H20" s="2"/>
      <c r="I20" s="2"/>
      <c r="J20" s="2"/>
      <c r="K20" s="2"/>
      <c r="L20" s="9" t="s">
        <v>26</v>
      </c>
      <c r="M20" s="2"/>
      <c r="N20" s="3" t="s">
        <v>173</v>
      </c>
      <c r="O20" s="7" t="s">
        <v>43</v>
      </c>
      <c r="P20" s="3" t="s">
        <v>38</v>
      </c>
      <c r="Q20" s="8">
        <v>45921.0</v>
      </c>
      <c r="R20" s="9" t="s">
        <v>31</v>
      </c>
      <c r="S20" s="2"/>
      <c r="T20" s="2"/>
      <c r="U20" s="2"/>
      <c r="V20" s="2"/>
      <c r="W20" s="2"/>
      <c r="X20" s="2"/>
      <c r="Y20" s="2"/>
      <c r="Z20" s="2"/>
    </row>
    <row r="21" ht="15.75" customHeight="1">
      <c r="A21" s="3" t="s">
        <v>174</v>
      </c>
      <c r="B21" s="3" t="s">
        <v>175</v>
      </c>
      <c r="C21" s="3" t="s">
        <v>176</v>
      </c>
      <c r="D21" s="3" t="s">
        <v>119</v>
      </c>
      <c r="E21" s="5">
        <v>0.6666666666666666</v>
      </c>
      <c r="F21" s="3" t="s">
        <v>177</v>
      </c>
      <c r="G21" s="3" t="s">
        <v>178</v>
      </c>
      <c r="H21" s="3" t="s">
        <v>179</v>
      </c>
      <c r="I21" s="3" t="s">
        <v>180</v>
      </c>
      <c r="J21" s="2"/>
      <c r="K21" s="3" t="s">
        <v>181</v>
      </c>
      <c r="L21" s="9" t="s">
        <v>182</v>
      </c>
      <c r="M21" s="2"/>
      <c r="N21" s="9" t="s">
        <v>183</v>
      </c>
      <c r="O21" s="2"/>
      <c r="P21" s="3" t="s">
        <v>30</v>
      </c>
      <c r="Q21" s="8">
        <v>45921.0</v>
      </c>
      <c r="R21" s="9" t="s">
        <v>31</v>
      </c>
      <c r="S21" s="2"/>
      <c r="T21" s="2"/>
      <c r="U21" s="2"/>
      <c r="V21" s="2"/>
      <c r="W21" s="2"/>
      <c r="X21" s="2"/>
      <c r="Y21" s="2"/>
      <c r="Z21" s="2"/>
    </row>
    <row r="22" ht="15.75" customHeight="1">
      <c r="A22" s="2" t="s">
        <v>184</v>
      </c>
      <c r="B22" s="2" t="s">
        <v>185</v>
      </c>
      <c r="C22" s="11">
        <v>45927.0</v>
      </c>
      <c r="D22" s="2" t="s">
        <v>119</v>
      </c>
      <c r="E22" s="2" t="s">
        <v>186</v>
      </c>
      <c r="F22" s="2" t="s">
        <v>187</v>
      </c>
      <c r="G22" s="2" t="s">
        <v>188</v>
      </c>
      <c r="H22" s="2" t="s">
        <v>80</v>
      </c>
      <c r="I22" s="2" t="s">
        <v>80</v>
      </c>
      <c r="J22" s="2" t="s">
        <v>80</v>
      </c>
      <c r="K22" s="2" t="s">
        <v>80</v>
      </c>
      <c r="L22" s="2" t="s">
        <v>26</v>
      </c>
      <c r="M22" s="2" t="s">
        <v>80</v>
      </c>
      <c r="N22" s="2" t="s">
        <v>189</v>
      </c>
      <c r="O22" s="12" t="s">
        <v>190</v>
      </c>
      <c r="P22" s="2"/>
      <c r="Q22" s="2"/>
      <c r="R22" s="2"/>
      <c r="S22" s="2"/>
      <c r="T22" s="2"/>
      <c r="U22" s="2"/>
      <c r="V22" s="2"/>
      <c r="W22" s="2"/>
      <c r="X22" s="2"/>
      <c r="Y22" s="2"/>
      <c r="Z22" s="2"/>
    </row>
    <row r="23" ht="15.75" customHeight="1">
      <c r="A23" s="3" t="s">
        <v>191</v>
      </c>
      <c r="B23" s="3" t="s">
        <v>142</v>
      </c>
      <c r="C23" s="3" t="s">
        <v>192</v>
      </c>
      <c r="D23" s="3" t="s">
        <v>193</v>
      </c>
      <c r="E23" s="3" t="s">
        <v>194</v>
      </c>
      <c r="F23" s="3" t="s">
        <v>195</v>
      </c>
      <c r="G23" s="3" t="s">
        <v>196</v>
      </c>
      <c r="H23" s="3" t="s">
        <v>146</v>
      </c>
      <c r="I23" s="10">
        <v>7.094753054E9</v>
      </c>
      <c r="J23" s="2"/>
      <c r="K23" s="2"/>
      <c r="L23" s="3" t="s">
        <v>197</v>
      </c>
      <c r="M23" s="6" t="s">
        <v>198</v>
      </c>
      <c r="N23" s="2"/>
      <c r="O23" s="2"/>
      <c r="P23" s="3" t="s">
        <v>30</v>
      </c>
      <c r="Q23" s="8">
        <v>45920.0</v>
      </c>
      <c r="R23" s="9" t="s">
        <v>31</v>
      </c>
      <c r="S23" s="2"/>
      <c r="T23" s="2"/>
      <c r="U23" s="2"/>
      <c r="V23" s="2"/>
      <c r="W23" s="2"/>
      <c r="X23" s="2"/>
      <c r="Y23" s="2"/>
      <c r="Z23" s="2"/>
    </row>
    <row r="24" ht="15.75" customHeight="1">
      <c r="A24" s="2" t="s">
        <v>199</v>
      </c>
      <c r="B24" s="2" t="s">
        <v>200</v>
      </c>
      <c r="C24" s="2" t="s">
        <v>201</v>
      </c>
      <c r="D24" s="2" t="s">
        <v>202</v>
      </c>
      <c r="E24" s="2" t="s">
        <v>203</v>
      </c>
      <c r="F24" s="2" t="s">
        <v>204</v>
      </c>
      <c r="G24" s="2" t="s">
        <v>205</v>
      </c>
      <c r="H24" s="2" t="s">
        <v>206</v>
      </c>
      <c r="I24" s="2" t="s">
        <v>207</v>
      </c>
      <c r="J24" s="16" t="s">
        <v>208</v>
      </c>
      <c r="K24" s="2" t="s">
        <v>209</v>
      </c>
      <c r="L24" s="2" t="s">
        <v>26</v>
      </c>
      <c r="M24" s="2" t="s">
        <v>210</v>
      </c>
      <c r="N24" s="2" t="s">
        <v>211</v>
      </c>
      <c r="O24" s="12" t="s">
        <v>212</v>
      </c>
      <c r="P24" s="2"/>
      <c r="Q24" s="2"/>
      <c r="R24" s="2"/>
      <c r="S24" s="2"/>
      <c r="T24" s="2"/>
      <c r="U24" s="2"/>
      <c r="V24" s="2"/>
      <c r="W24" s="2"/>
      <c r="X24" s="2"/>
      <c r="Y24" s="2"/>
      <c r="Z24" s="2"/>
    </row>
    <row r="25" ht="15.75" customHeight="1">
      <c r="A25" s="3" t="s">
        <v>213</v>
      </c>
      <c r="B25" s="3" t="s">
        <v>214</v>
      </c>
      <c r="C25" s="3" t="s">
        <v>215</v>
      </c>
      <c r="D25" s="3" t="s">
        <v>216</v>
      </c>
      <c r="E25" s="5">
        <v>0.7291666666666666</v>
      </c>
      <c r="F25" s="3" t="s">
        <v>217</v>
      </c>
      <c r="G25" s="9" t="s">
        <v>218</v>
      </c>
      <c r="H25" s="2"/>
      <c r="I25" s="10">
        <v>9.482069553E9</v>
      </c>
      <c r="J25" s="2"/>
      <c r="K25" s="3" t="s">
        <v>219</v>
      </c>
      <c r="L25" s="9" t="s">
        <v>220</v>
      </c>
      <c r="M25" s="2"/>
      <c r="N25" s="2"/>
      <c r="O25" s="2"/>
      <c r="P25" s="3" t="s">
        <v>30</v>
      </c>
      <c r="Q25" s="8">
        <v>45920.0</v>
      </c>
      <c r="R25" s="9" t="s">
        <v>31</v>
      </c>
      <c r="S25" s="2"/>
      <c r="T25" s="2"/>
      <c r="U25" s="2"/>
      <c r="V25" s="2"/>
      <c r="W25" s="2"/>
      <c r="X25" s="2"/>
      <c r="Y25" s="2"/>
      <c r="Z25" s="2"/>
    </row>
    <row r="26" ht="15.75" customHeight="1">
      <c r="A26" s="3" t="s">
        <v>221</v>
      </c>
      <c r="B26" s="3" t="s">
        <v>164</v>
      </c>
      <c r="C26" s="3" t="s">
        <v>215</v>
      </c>
      <c r="D26" s="3" t="s">
        <v>216</v>
      </c>
      <c r="E26" s="3" t="s">
        <v>222</v>
      </c>
      <c r="F26" s="3" t="s">
        <v>223</v>
      </c>
      <c r="G26" s="3" t="s">
        <v>224</v>
      </c>
      <c r="H26" s="3" t="s">
        <v>225</v>
      </c>
      <c r="I26" s="10">
        <v>9.84516849E9</v>
      </c>
      <c r="J26" s="7" t="s">
        <v>226</v>
      </c>
      <c r="K26" s="3" t="s">
        <v>227</v>
      </c>
      <c r="L26" s="9" t="s">
        <v>228</v>
      </c>
      <c r="M26" s="2"/>
      <c r="N26" s="2"/>
      <c r="O26" s="2"/>
      <c r="P26" s="3" t="s">
        <v>30</v>
      </c>
      <c r="Q26" s="8">
        <v>45920.0</v>
      </c>
      <c r="R26" s="9" t="s">
        <v>31</v>
      </c>
      <c r="S26" s="2"/>
      <c r="T26" s="2"/>
      <c r="U26" s="2"/>
      <c r="V26" s="2"/>
      <c r="W26" s="2"/>
      <c r="X26" s="2"/>
      <c r="Y26" s="2"/>
      <c r="Z26" s="2"/>
    </row>
    <row r="27" ht="15.75" customHeight="1">
      <c r="A27" s="2" t="s">
        <v>213</v>
      </c>
      <c r="B27" s="2" t="s">
        <v>214</v>
      </c>
      <c r="C27" s="2" t="s">
        <v>229</v>
      </c>
      <c r="D27" s="2" t="s">
        <v>216</v>
      </c>
      <c r="E27" s="13">
        <v>0.7291666666666666</v>
      </c>
      <c r="F27" s="2" t="s">
        <v>230</v>
      </c>
      <c r="G27" s="14" t="s">
        <v>231</v>
      </c>
      <c r="H27" s="2"/>
      <c r="I27" s="2" t="s">
        <v>232</v>
      </c>
      <c r="J27" s="2"/>
      <c r="K27" s="2" t="s">
        <v>233</v>
      </c>
      <c r="L27" s="14" t="s">
        <v>220</v>
      </c>
      <c r="M27" s="2"/>
      <c r="N27" s="2"/>
      <c r="O27" s="2"/>
      <c r="P27" s="2"/>
      <c r="Q27" s="2"/>
      <c r="R27" s="2"/>
      <c r="S27" s="2"/>
      <c r="T27" s="2"/>
      <c r="U27" s="2"/>
      <c r="V27" s="2"/>
      <c r="W27" s="2"/>
      <c r="X27" s="2"/>
      <c r="Y27" s="2"/>
      <c r="Z27" s="2"/>
    </row>
    <row r="28" ht="15.75" customHeight="1">
      <c r="A28" s="2" t="s">
        <v>234</v>
      </c>
      <c r="B28" s="2" t="s">
        <v>164</v>
      </c>
      <c r="C28" s="2" t="s">
        <v>229</v>
      </c>
      <c r="D28" s="2" t="s">
        <v>216</v>
      </c>
      <c r="E28" s="2" t="s">
        <v>235</v>
      </c>
      <c r="F28" s="2" t="s">
        <v>223</v>
      </c>
      <c r="G28" s="2" t="s">
        <v>236</v>
      </c>
      <c r="H28" s="2" t="s">
        <v>225</v>
      </c>
      <c r="I28" s="2" t="s">
        <v>207</v>
      </c>
      <c r="J28" s="16" t="s">
        <v>237</v>
      </c>
      <c r="K28" s="2" t="s">
        <v>238</v>
      </c>
      <c r="L28" s="2" t="s">
        <v>228</v>
      </c>
      <c r="M28" s="2" t="s">
        <v>210</v>
      </c>
      <c r="N28" s="2" t="s">
        <v>239</v>
      </c>
      <c r="O28" s="12" t="s">
        <v>240</v>
      </c>
      <c r="P28" s="2"/>
      <c r="Q28" s="2"/>
      <c r="R28" s="2"/>
      <c r="S28" s="2"/>
      <c r="T28" s="2"/>
      <c r="U28" s="2"/>
      <c r="V28" s="2"/>
      <c r="W28" s="2"/>
      <c r="X28" s="2"/>
      <c r="Y28" s="2"/>
      <c r="Z28" s="2"/>
    </row>
    <row r="29" ht="15.75" customHeight="1">
      <c r="A29" s="3" t="s">
        <v>241</v>
      </c>
      <c r="B29" s="3" t="s">
        <v>242</v>
      </c>
      <c r="C29" s="3" t="s">
        <v>243</v>
      </c>
      <c r="D29" s="3" t="s">
        <v>244</v>
      </c>
      <c r="E29" s="3" t="s">
        <v>245</v>
      </c>
      <c r="F29" s="3" t="s">
        <v>246</v>
      </c>
      <c r="G29" s="9" t="s">
        <v>247</v>
      </c>
      <c r="H29" s="2"/>
      <c r="I29" s="2"/>
      <c r="J29" s="2"/>
      <c r="K29" s="3" t="s">
        <v>248</v>
      </c>
      <c r="L29" s="3" t="s">
        <v>249</v>
      </c>
      <c r="M29" s="7" t="s">
        <v>250</v>
      </c>
      <c r="N29" s="9" t="s">
        <v>251</v>
      </c>
      <c r="O29" s="2"/>
      <c r="P29" s="3" t="s">
        <v>30</v>
      </c>
      <c r="Q29" s="8">
        <v>45921.0</v>
      </c>
      <c r="R29" s="9" t="s">
        <v>31</v>
      </c>
      <c r="S29" s="2"/>
      <c r="T29" s="2"/>
      <c r="U29" s="2"/>
      <c r="V29" s="2"/>
      <c r="W29" s="2"/>
      <c r="X29" s="2"/>
      <c r="Y29" s="2"/>
      <c r="Z29" s="2"/>
    </row>
    <row r="30" ht="15.75" customHeight="1">
      <c r="A30" s="2" t="s">
        <v>252</v>
      </c>
      <c r="B30" s="2" t="s">
        <v>253</v>
      </c>
      <c r="C30" s="2" t="s">
        <v>254</v>
      </c>
      <c r="D30" s="2" t="s">
        <v>255</v>
      </c>
      <c r="E30" s="2" t="s">
        <v>256</v>
      </c>
      <c r="F30" s="2" t="s">
        <v>257</v>
      </c>
      <c r="G30" s="2" t="s">
        <v>258</v>
      </c>
      <c r="H30" s="2" t="s">
        <v>259</v>
      </c>
      <c r="I30" s="2" t="s">
        <v>207</v>
      </c>
      <c r="J30" s="16" t="s">
        <v>260</v>
      </c>
      <c r="K30" s="2" t="s">
        <v>261</v>
      </c>
      <c r="L30" s="2" t="s">
        <v>262</v>
      </c>
      <c r="M30" s="2" t="s">
        <v>263</v>
      </c>
      <c r="N30" s="2" t="s">
        <v>264</v>
      </c>
      <c r="O30" s="12" t="s">
        <v>265</v>
      </c>
      <c r="P30" s="2"/>
      <c r="Q30" s="2"/>
      <c r="R30" s="2"/>
      <c r="S30" s="2"/>
      <c r="T30" s="2"/>
      <c r="U30" s="2"/>
      <c r="V30" s="2"/>
      <c r="W30" s="2"/>
      <c r="X30" s="2"/>
      <c r="Y30" s="2"/>
      <c r="Z30" s="2"/>
    </row>
    <row r="31" ht="15.75" customHeight="1">
      <c r="A31" s="3" t="s">
        <v>266</v>
      </c>
      <c r="B31" s="3" t="s">
        <v>267</v>
      </c>
      <c r="C31" s="4">
        <v>45922.0</v>
      </c>
      <c r="D31" s="3" t="s">
        <v>268</v>
      </c>
      <c r="E31" s="3" t="s">
        <v>269</v>
      </c>
      <c r="F31" s="3" t="s">
        <v>270</v>
      </c>
      <c r="G31" s="3" t="s">
        <v>271</v>
      </c>
      <c r="H31" s="3" t="s">
        <v>272</v>
      </c>
      <c r="I31" s="10">
        <v>9.488084966E9</v>
      </c>
      <c r="J31" s="7" t="s">
        <v>273</v>
      </c>
      <c r="K31" s="3" t="s">
        <v>274</v>
      </c>
      <c r="L31" s="3" t="s">
        <v>275</v>
      </c>
      <c r="M31" s="7" t="s">
        <v>276</v>
      </c>
      <c r="N31" s="9" t="s">
        <v>277</v>
      </c>
      <c r="O31" s="2"/>
      <c r="P31" s="3" t="s">
        <v>30</v>
      </c>
      <c r="Q31" s="8">
        <v>45920.0</v>
      </c>
      <c r="R31" s="9" t="s">
        <v>31</v>
      </c>
      <c r="S31" s="2"/>
      <c r="T31" s="2"/>
      <c r="U31" s="2"/>
      <c r="V31" s="2"/>
      <c r="W31" s="2"/>
      <c r="X31" s="2"/>
      <c r="Y31" s="2"/>
      <c r="Z31" s="2"/>
    </row>
    <row r="32" ht="15.75" customHeight="1">
      <c r="A32" s="3" t="s">
        <v>278</v>
      </c>
      <c r="B32" s="3" t="s">
        <v>279</v>
      </c>
      <c r="C32" s="4">
        <v>45922.0</v>
      </c>
      <c r="D32" s="3" t="s">
        <v>268</v>
      </c>
      <c r="E32" s="5">
        <v>0.8125</v>
      </c>
      <c r="F32" s="3" t="s">
        <v>34</v>
      </c>
      <c r="G32" s="9" t="s">
        <v>280</v>
      </c>
      <c r="H32" s="2"/>
      <c r="I32" s="2"/>
      <c r="J32" s="2"/>
      <c r="K32" s="2"/>
      <c r="L32" s="9" t="s">
        <v>26</v>
      </c>
      <c r="M32" s="2"/>
      <c r="N32" s="3" t="s">
        <v>281</v>
      </c>
      <c r="O32" s="7" t="s">
        <v>37</v>
      </c>
      <c r="P32" s="3" t="s">
        <v>38</v>
      </c>
      <c r="Q32" s="8">
        <v>45921.0</v>
      </c>
      <c r="R32" s="9" t="s">
        <v>31</v>
      </c>
      <c r="S32" s="2"/>
      <c r="T32" s="2"/>
      <c r="U32" s="2"/>
      <c r="V32" s="2"/>
      <c r="W32" s="2"/>
      <c r="X32" s="2"/>
      <c r="Y32" s="2"/>
      <c r="Z32" s="2"/>
    </row>
    <row r="33" ht="15.75" customHeight="1">
      <c r="A33" s="3" t="s">
        <v>282</v>
      </c>
      <c r="B33" s="3" t="s">
        <v>87</v>
      </c>
      <c r="C33" s="4">
        <v>45929.0</v>
      </c>
      <c r="D33" s="3" t="s">
        <v>268</v>
      </c>
      <c r="E33" s="5">
        <v>0.8125</v>
      </c>
      <c r="F33" s="3" t="s">
        <v>34</v>
      </c>
      <c r="G33" s="9" t="s">
        <v>283</v>
      </c>
      <c r="H33" s="2"/>
      <c r="I33" s="2"/>
      <c r="J33" s="2"/>
      <c r="K33" s="2"/>
      <c r="L33" s="9" t="s">
        <v>26</v>
      </c>
      <c r="M33" s="2"/>
      <c r="N33" s="3" t="s">
        <v>284</v>
      </c>
      <c r="O33" s="7" t="s">
        <v>43</v>
      </c>
      <c r="P33" s="3" t="s">
        <v>38</v>
      </c>
      <c r="Q33" s="8">
        <v>45921.0</v>
      </c>
      <c r="R33" s="9" t="s">
        <v>31</v>
      </c>
      <c r="S33" s="2"/>
      <c r="T33" s="2"/>
      <c r="U33" s="2"/>
      <c r="V33" s="2"/>
      <c r="W33" s="2"/>
      <c r="X33" s="2"/>
      <c r="Y33" s="2"/>
      <c r="Z33" s="2"/>
    </row>
    <row r="34" ht="15.75" customHeight="1">
      <c r="A34" s="2" t="s">
        <v>285</v>
      </c>
      <c r="B34" s="2" t="s">
        <v>286</v>
      </c>
      <c r="C34" s="2" t="s">
        <v>287</v>
      </c>
      <c r="D34" s="2" t="s">
        <v>268</v>
      </c>
      <c r="E34" s="2" t="s">
        <v>288</v>
      </c>
      <c r="F34" s="2" t="s">
        <v>144</v>
      </c>
      <c r="G34" s="2" t="s">
        <v>289</v>
      </c>
      <c r="H34" s="2" t="s">
        <v>290</v>
      </c>
      <c r="I34" s="2" t="s">
        <v>291</v>
      </c>
      <c r="J34" s="2"/>
      <c r="K34" s="2" t="s">
        <v>292</v>
      </c>
      <c r="L34" s="14" t="s">
        <v>293</v>
      </c>
      <c r="M34" s="2"/>
      <c r="N34" s="2" t="s">
        <v>294</v>
      </c>
      <c r="O34" s="12" t="s">
        <v>295</v>
      </c>
      <c r="P34" s="2"/>
      <c r="Q34" s="2"/>
      <c r="R34" s="2"/>
      <c r="S34" s="2"/>
      <c r="T34" s="2"/>
      <c r="U34" s="2"/>
      <c r="V34" s="2"/>
      <c r="W34" s="2"/>
      <c r="X34" s="2"/>
      <c r="Y34" s="2"/>
      <c r="Z34" s="2"/>
    </row>
    <row r="35" ht="15.75" customHeight="1">
      <c r="A35" s="3" t="s">
        <v>296</v>
      </c>
      <c r="B35" s="3" t="s">
        <v>297</v>
      </c>
      <c r="C35" s="4">
        <v>45926.0</v>
      </c>
      <c r="D35" s="3" t="s">
        <v>298</v>
      </c>
      <c r="E35" s="5">
        <v>0.8125</v>
      </c>
      <c r="F35" s="3" t="s">
        <v>34</v>
      </c>
      <c r="G35" s="9" t="s">
        <v>299</v>
      </c>
      <c r="H35" s="2"/>
      <c r="I35" s="2"/>
      <c r="J35" s="2"/>
      <c r="K35" s="2"/>
      <c r="L35" s="9" t="s">
        <v>26</v>
      </c>
      <c r="M35" s="2"/>
      <c r="N35" s="3" t="s">
        <v>300</v>
      </c>
      <c r="O35" s="7" t="s">
        <v>37</v>
      </c>
      <c r="P35" s="3" t="s">
        <v>38</v>
      </c>
      <c r="Q35" s="8">
        <v>45921.0</v>
      </c>
      <c r="R35" s="9" t="s">
        <v>31</v>
      </c>
      <c r="S35" s="2"/>
      <c r="T35" s="2"/>
      <c r="U35" s="2"/>
      <c r="V35" s="2"/>
      <c r="W35" s="2"/>
      <c r="X35" s="2"/>
      <c r="Y35" s="2"/>
      <c r="Z35" s="2"/>
    </row>
    <row r="36" ht="15.75" customHeight="1">
      <c r="A36" s="3" t="s">
        <v>301</v>
      </c>
      <c r="B36" s="3" t="s">
        <v>302</v>
      </c>
      <c r="C36" s="3" t="s">
        <v>303</v>
      </c>
      <c r="D36" s="3" t="s">
        <v>298</v>
      </c>
      <c r="E36" s="3" t="s">
        <v>222</v>
      </c>
      <c r="F36" s="3" t="s">
        <v>304</v>
      </c>
      <c r="G36" s="3" t="s">
        <v>305</v>
      </c>
      <c r="H36" s="9" t="s">
        <v>306</v>
      </c>
      <c r="I36" s="2"/>
      <c r="J36" s="2"/>
      <c r="K36" s="2"/>
      <c r="L36" s="9" t="s">
        <v>26</v>
      </c>
      <c r="M36" s="2"/>
      <c r="N36" s="3" t="s">
        <v>307</v>
      </c>
      <c r="O36" s="7" t="s">
        <v>308</v>
      </c>
      <c r="P36" s="3" t="s">
        <v>30</v>
      </c>
      <c r="Q36" s="8">
        <v>45921.0</v>
      </c>
      <c r="R36" s="9" t="s">
        <v>31</v>
      </c>
      <c r="S36" s="2"/>
      <c r="T36" s="2"/>
      <c r="U36" s="2"/>
      <c r="V36" s="2"/>
      <c r="W36" s="2"/>
      <c r="X36" s="2"/>
      <c r="Y36" s="2"/>
      <c r="Z36" s="2"/>
    </row>
    <row r="37" ht="15.75" customHeight="1">
      <c r="A37" s="2" t="s">
        <v>309</v>
      </c>
      <c r="B37" s="14" t="s">
        <v>310</v>
      </c>
      <c r="C37" s="2"/>
      <c r="D37" s="2" t="s">
        <v>298</v>
      </c>
      <c r="E37" s="2" t="s">
        <v>311</v>
      </c>
      <c r="F37" s="2" t="s">
        <v>312</v>
      </c>
      <c r="G37" s="14" t="s">
        <v>313</v>
      </c>
      <c r="H37" s="2"/>
      <c r="I37" s="2"/>
      <c r="J37" s="2"/>
      <c r="K37" s="2" t="s">
        <v>314</v>
      </c>
      <c r="L37" s="14" t="s">
        <v>26</v>
      </c>
      <c r="M37" s="2"/>
      <c r="N37" s="2" t="s">
        <v>315</v>
      </c>
      <c r="O37" s="12" t="s">
        <v>316</v>
      </c>
      <c r="P37" s="2"/>
      <c r="Q37" s="2"/>
      <c r="R37" s="2"/>
      <c r="S37" s="2"/>
      <c r="T37" s="2"/>
      <c r="U37" s="2"/>
      <c r="V37" s="2"/>
      <c r="W37" s="2"/>
      <c r="X37" s="2"/>
      <c r="Y37" s="2"/>
      <c r="Z37" s="2"/>
    </row>
    <row r="38" ht="15.75" customHeight="1">
      <c r="A38" s="3" t="s">
        <v>317</v>
      </c>
      <c r="B38" s="3" t="s">
        <v>286</v>
      </c>
      <c r="C38" s="3" t="s">
        <v>318</v>
      </c>
      <c r="D38" s="3" t="s">
        <v>319</v>
      </c>
      <c r="E38" s="3" t="s">
        <v>319</v>
      </c>
      <c r="F38" s="3" t="s">
        <v>320</v>
      </c>
      <c r="G38" s="3" t="s">
        <v>321</v>
      </c>
      <c r="H38" s="3" t="s">
        <v>322</v>
      </c>
      <c r="I38" s="3" t="s">
        <v>323</v>
      </c>
      <c r="J38" s="2"/>
      <c r="K38" s="2"/>
      <c r="L38" s="3" t="s">
        <v>324</v>
      </c>
      <c r="M38" s="2"/>
      <c r="N38" s="2"/>
      <c r="O38" s="2"/>
      <c r="P38" s="3" t="s">
        <v>30</v>
      </c>
      <c r="Q38" s="8">
        <v>45920.0</v>
      </c>
      <c r="R38" s="9" t="s">
        <v>31</v>
      </c>
      <c r="S38" s="2"/>
      <c r="T38" s="2"/>
      <c r="U38" s="2"/>
      <c r="V38" s="2"/>
      <c r="W38" s="2"/>
      <c r="X38" s="2"/>
      <c r="Y38" s="2"/>
      <c r="Z38" s="2"/>
    </row>
    <row r="39" ht="15.75" customHeight="1">
      <c r="A39" s="2" t="s">
        <v>325</v>
      </c>
      <c r="B39" s="2" t="s">
        <v>326</v>
      </c>
      <c r="C39" s="2" t="s">
        <v>327</v>
      </c>
      <c r="D39" s="2" t="s">
        <v>80</v>
      </c>
      <c r="E39" s="2" t="s">
        <v>328</v>
      </c>
      <c r="F39" s="2" t="s">
        <v>329</v>
      </c>
      <c r="G39" s="2" t="s">
        <v>330</v>
      </c>
      <c r="H39" s="2" t="s">
        <v>80</v>
      </c>
      <c r="I39" s="2" t="s">
        <v>331</v>
      </c>
      <c r="J39" s="16" t="s">
        <v>332</v>
      </c>
      <c r="K39" s="2" t="s">
        <v>80</v>
      </c>
      <c r="L39" s="2" t="s">
        <v>333</v>
      </c>
      <c r="M39" s="2" t="s">
        <v>80</v>
      </c>
      <c r="N39" s="2" t="s">
        <v>334</v>
      </c>
      <c r="O39" s="12" t="s">
        <v>335</v>
      </c>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17"/>
      <c r="R40" s="18"/>
      <c r="S40" s="2"/>
      <c r="T40" s="2"/>
      <c r="U40" s="2"/>
      <c r="V40" s="2"/>
      <c r="W40" s="2"/>
      <c r="X40" s="2"/>
      <c r="Y40" s="2"/>
      <c r="Z40" s="2"/>
    </row>
    <row r="41" ht="15.75" customHeight="1">
      <c r="A41" s="3" t="s">
        <v>336</v>
      </c>
      <c r="B41" s="3" t="s">
        <v>337</v>
      </c>
      <c r="C41" s="9" t="s">
        <v>338</v>
      </c>
      <c r="D41" s="2"/>
      <c r="E41" s="3" t="s">
        <v>339</v>
      </c>
      <c r="F41" s="3" t="s">
        <v>340</v>
      </c>
      <c r="G41" s="3" t="s">
        <v>341</v>
      </c>
      <c r="H41" s="3" t="s">
        <v>342</v>
      </c>
      <c r="I41" s="10">
        <v>7.200299318E9</v>
      </c>
      <c r="J41" s="2"/>
      <c r="K41" s="3" t="s">
        <v>343</v>
      </c>
      <c r="L41" s="9" t="s">
        <v>344</v>
      </c>
      <c r="M41" s="2"/>
      <c r="N41" s="2"/>
      <c r="O41" s="2"/>
      <c r="P41" s="3" t="s">
        <v>30</v>
      </c>
      <c r="Q41" s="8">
        <v>45920.0</v>
      </c>
      <c r="R41" s="9" t="s">
        <v>31</v>
      </c>
      <c r="S41" s="2"/>
      <c r="T41" s="2"/>
      <c r="U41" s="2"/>
      <c r="V41" s="2"/>
      <c r="W41" s="2"/>
      <c r="X41" s="2"/>
      <c r="Y41" s="2"/>
      <c r="Z41" s="2"/>
    </row>
    <row r="42" ht="15.75" customHeight="1">
      <c r="A42" s="3" t="s">
        <v>345</v>
      </c>
      <c r="B42" s="9" t="s">
        <v>337</v>
      </c>
      <c r="C42" s="2"/>
      <c r="D42" s="2"/>
      <c r="E42" s="2"/>
      <c r="F42" s="3" t="s">
        <v>346</v>
      </c>
      <c r="G42" s="9" t="s">
        <v>347</v>
      </c>
      <c r="H42" s="2"/>
      <c r="I42" s="10">
        <v>9.488818684E9</v>
      </c>
      <c r="J42" s="2"/>
      <c r="K42" s="2"/>
      <c r="L42" s="3" t="s">
        <v>348</v>
      </c>
      <c r="M42" s="7" t="s">
        <v>349</v>
      </c>
      <c r="N42" s="9" t="s">
        <v>350</v>
      </c>
      <c r="O42" s="2"/>
      <c r="P42" s="3" t="s">
        <v>30</v>
      </c>
      <c r="Q42" s="8">
        <v>45921.0</v>
      </c>
      <c r="R42" s="9" t="s">
        <v>31</v>
      </c>
      <c r="S42" s="2"/>
      <c r="T42" s="2"/>
      <c r="U42" s="2"/>
      <c r="V42" s="2"/>
      <c r="W42" s="2"/>
      <c r="X42" s="2"/>
      <c r="Y42" s="2"/>
      <c r="Z42" s="2"/>
    </row>
    <row r="43" ht="15.75" customHeight="1">
      <c r="A43" s="2" t="s">
        <v>351</v>
      </c>
      <c r="B43" s="2" t="s">
        <v>352</v>
      </c>
      <c r="C43" s="14" t="s">
        <v>353</v>
      </c>
      <c r="D43" s="2"/>
      <c r="E43" s="2"/>
      <c r="F43" s="2" t="s">
        <v>354</v>
      </c>
      <c r="G43" s="2" t="s">
        <v>355</v>
      </c>
      <c r="H43" s="2" t="s">
        <v>356</v>
      </c>
      <c r="I43" s="2" t="s">
        <v>357</v>
      </c>
      <c r="J43" s="12" t="s">
        <v>358</v>
      </c>
      <c r="K43" s="2"/>
      <c r="L43" s="2"/>
      <c r="M43" s="16" t="s">
        <v>359</v>
      </c>
      <c r="N43" s="2" t="s">
        <v>360</v>
      </c>
      <c r="O43" s="12" t="s">
        <v>361</v>
      </c>
      <c r="P43" s="2"/>
      <c r="Q43" s="2"/>
      <c r="R43" s="2"/>
      <c r="S43" s="2"/>
      <c r="T43" s="2"/>
      <c r="U43" s="2"/>
      <c r="V43" s="2"/>
      <c r="W43" s="2"/>
      <c r="X43" s="2"/>
      <c r="Y43" s="2"/>
      <c r="Z43" s="2"/>
    </row>
    <row r="44" ht="15.75" customHeight="1">
      <c r="A44" s="2" t="s">
        <v>362</v>
      </c>
      <c r="B44" s="2" t="s">
        <v>363</v>
      </c>
      <c r="C44" s="2"/>
      <c r="D44" s="2"/>
      <c r="E44" s="2" t="s">
        <v>364</v>
      </c>
      <c r="F44" s="2" t="s">
        <v>365</v>
      </c>
      <c r="G44" s="2" t="s">
        <v>366</v>
      </c>
      <c r="H44" s="2" t="s">
        <v>367</v>
      </c>
      <c r="I44" s="19" t="s">
        <v>368</v>
      </c>
      <c r="J44" s="12" t="s">
        <v>369</v>
      </c>
      <c r="K44" s="2"/>
      <c r="L44" s="2" t="s">
        <v>370</v>
      </c>
      <c r="M44" s="16" t="s">
        <v>371</v>
      </c>
      <c r="N44" s="2" t="s">
        <v>372</v>
      </c>
      <c r="O44" s="12" t="s">
        <v>373</v>
      </c>
      <c r="P44" s="2"/>
      <c r="Q44" s="2"/>
      <c r="R44" s="2"/>
      <c r="S44" s="2"/>
      <c r="T44" s="2"/>
      <c r="U44" s="2"/>
      <c r="V44" s="2"/>
      <c r="W44" s="2"/>
      <c r="X44" s="2"/>
      <c r="Y44" s="2"/>
      <c r="Z44" s="2"/>
    </row>
    <row r="45" ht="15.75" customHeight="1">
      <c r="A45" s="2" t="s">
        <v>374</v>
      </c>
      <c r="B45" s="14" t="s">
        <v>375</v>
      </c>
      <c r="C45" s="2"/>
      <c r="D45" s="2"/>
      <c r="E45" s="2" t="s">
        <v>364</v>
      </c>
      <c r="F45" s="2" t="s">
        <v>365</v>
      </c>
      <c r="G45" s="2" t="s">
        <v>376</v>
      </c>
      <c r="H45" s="2" t="s">
        <v>367</v>
      </c>
      <c r="I45" s="19" t="s">
        <v>368</v>
      </c>
      <c r="J45" s="12" t="s">
        <v>377</v>
      </c>
      <c r="K45" s="2"/>
      <c r="L45" s="2" t="s">
        <v>370</v>
      </c>
      <c r="M45" s="16" t="s">
        <v>371</v>
      </c>
      <c r="N45" s="2" t="s">
        <v>372</v>
      </c>
      <c r="O45" s="12" t="s">
        <v>378</v>
      </c>
      <c r="P45" s="2"/>
      <c r="Q45" s="2"/>
      <c r="R45" s="2"/>
      <c r="S45" s="2"/>
      <c r="T45" s="2"/>
      <c r="U45" s="2"/>
      <c r="V45" s="2"/>
      <c r="W45" s="2"/>
      <c r="X45" s="2"/>
      <c r="Y45" s="2"/>
      <c r="Z45" s="2"/>
    </row>
    <row r="46" ht="15.75" customHeight="1">
      <c r="A46" s="2" t="s">
        <v>379</v>
      </c>
      <c r="B46" s="2" t="s">
        <v>380</v>
      </c>
      <c r="C46" s="2"/>
      <c r="D46" s="2"/>
      <c r="E46" s="2" t="s">
        <v>364</v>
      </c>
      <c r="F46" s="2" t="s">
        <v>365</v>
      </c>
      <c r="G46" s="2" t="s">
        <v>381</v>
      </c>
      <c r="H46" s="2" t="s">
        <v>367</v>
      </c>
      <c r="I46" s="19" t="s">
        <v>368</v>
      </c>
      <c r="J46" s="12" t="s">
        <v>382</v>
      </c>
      <c r="K46" s="2"/>
      <c r="L46" s="2" t="s">
        <v>370</v>
      </c>
      <c r="M46" s="16" t="s">
        <v>371</v>
      </c>
      <c r="N46" s="2" t="s">
        <v>372</v>
      </c>
      <c r="O46" s="12" t="s">
        <v>383</v>
      </c>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t="s">
        <v>384</v>
      </c>
      <c r="B48" s="2" t="s">
        <v>385</v>
      </c>
      <c r="C48" s="2" t="s">
        <v>386</v>
      </c>
      <c r="D48" s="2" t="s">
        <v>119</v>
      </c>
      <c r="E48" s="2" t="s">
        <v>387</v>
      </c>
      <c r="F48" s="2" t="s">
        <v>388</v>
      </c>
      <c r="G48" s="14" t="s">
        <v>389</v>
      </c>
      <c r="H48" s="2"/>
      <c r="I48" s="20">
        <v>-9.567796099E9</v>
      </c>
      <c r="J48" s="2"/>
      <c r="K48" s="2"/>
      <c r="L48" s="14" t="s">
        <v>390</v>
      </c>
      <c r="M48" s="2"/>
      <c r="N48" s="2" t="s">
        <v>391</v>
      </c>
      <c r="O48" s="21" t="s">
        <v>392</v>
      </c>
      <c r="P48" s="2"/>
      <c r="Q48" s="2"/>
      <c r="R48" s="2"/>
      <c r="S48" s="2"/>
      <c r="T48" s="2"/>
      <c r="U48" s="2"/>
      <c r="V48" s="2"/>
      <c r="W48" s="2"/>
      <c r="X48" s="2"/>
      <c r="Y48" s="2"/>
      <c r="Z48" s="2"/>
    </row>
    <row r="49" ht="15.75" customHeight="1">
      <c r="A49" s="2" t="s">
        <v>393</v>
      </c>
      <c r="B49" s="2" t="s">
        <v>385</v>
      </c>
      <c r="C49" s="22" t="s">
        <v>394</v>
      </c>
      <c r="D49" s="2" t="s">
        <v>395</v>
      </c>
      <c r="E49" s="2" t="s">
        <v>396</v>
      </c>
      <c r="F49" s="2" t="s">
        <v>397</v>
      </c>
      <c r="G49" s="14" t="s">
        <v>398</v>
      </c>
      <c r="H49" s="2"/>
      <c r="I49" s="2"/>
      <c r="J49" s="2"/>
      <c r="K49" s="2"/>
      <c r="L49" s="14" t="s">
        <v>399</v>
      </c>
      <c r="M49" s="2"/>
      <c r="N49" s="2"/>
      <c r="O49" s="2"/>
      <c r="P49" s="2"/>
      <c r="Q49" s="2"/>
      <c r="R49" s="2"/>
      <c r="S49" s="2"/>
      <c r="T49" s="2"/>
      <c r="U49" s="2"/>
      <c r="V49" s="2"/>
      <c r="W49" s="2"/>
      <c r="X49" s="2"/>
      <c r="Y49" s="2"/>
      <c r="Z49" s="2"/>
    </row>
    <row r="50" ht="15.75" customHeight="1">
      <c r="A50" s="2" t="s">
        <v>400</v>
      </c>
      <c r="B50" s="2" t="s">
        <v>385</v>
      </c>
      <c r="C50" s="2" t="s">
        <v>401</v>
      </c>
      <c r="D50" s="2" t="s">
        <v>119</v>
      </c>
      <c r="E50" s="13">
        <v>0.7916666666666666</v>
      </c>
      <c r="F50" s="2" t="s">
        <v>402</v>
      </c>
      <c r="G50" s="2" t="s">
        <v>403</v>
      </c>
      <c r="H50" s="2" t="s">
        <v>404</v>
      </c>
      <c r="I50" s="23" t="str">
        <f>+91 (9787880211)</f>
        <v>#ERROR!</v>
      </c>
      <c r="J50" s="2"/>
      <c r="K50" s="2"/>
      <c r="L50" s="14" t="s">
        <v>26</v>
      </c>
      <c r="M50" s="2"/>
      <c r="N50" s="2" t="s">
        <v>405</v>
      </c>
      <c r="O50" s="21" t="s">
        <v>406</v>
      </c>
      <c r="P50" s="2"/>
      <c r="Q50" s="2"/>
      <c r="R50" s="2"/>
      <c r="S50" s="2"/>
      <c r="T50" s="2"/>
      <c r="U50" s="2"/>
      <c r="V50" s="2"/>
      <c r="W50" s="2"/>
      <c r="X50" s="2"/>
      <c r="Y50" s="2"/>
      <c r="Z50" s="2"/>
    </row>
    <row r="51" ht="15.75" customHeight="1">
      <c r="A51" s="2" t="s">
        <v>407</v>
      </c>
      <c r="B51" s="2" t="s">
        <v>408</v>
      </c>
      <c r="C51" s="24" t="s">
        <v>409</v>
      </c>
      <c r="D51" s="2" t="s">
        <v>119</v>
      </c>
      <c r="E51" s="13">
        <v>0.75</v>
      </c>
      <c r="F51" s="2" t="s">
        <v>410</v>
      </c>
      <c r="G51" s="14" t="s">
        <v>411</v>
      </c>
      <c r="H51" s="2"/>
      <c r="I51" s="23" t="str">
        <f>+91 (8525038274)</f>
        <v>#ERROR!</v>
      </c>
      <c r="J51" s="21" t="s">
        <v>412</v>
      </c>
      <c r="K51" s="2"/>
      <c r="L51" s="14" t="s">
        <v>413</v>
      </c>
      <c r="M51" s="2"/>
      <c r="N51" s="2" t="s">
        <v>414</v>
      </c>
      <c r="O51" s="21" t="s">
        <v>415</v>
      </c>
      <c r="P51" s="2"/>
      <c r="Q51" s="2"/>
      <c r="R51" s="2"/>
      <c r="S51" s="2"/>
      <c r="T51" s="2"/>
      <c r="U51" s="2"/>
      <c r="V51" s="2"/>
      <c r="W51" s="2"/>
      <c r="X51" s="2"/>
      <c r="Y51" s="2"/>
      <c r="Z51" s="2"/>
    </row>
    <row r="52" ht="15.75" customHeight="1">
      <c r="A52" s="2" t="s">
        <v>416</v>
      </c>
      <c r="B52" s="2" t="s">
        <v>385</v>
      </c>
      <c r="C52" s="25" t="s">
        <v>417</v>
      </c>
      <c r="D52" s="2" t="s">
        <v>298</v>
      </c>
      <c r="E52" s="13">
        <v>0.7916666666666666</v>
      </c>
      <c r="F52" s="2" t="s">
        <v>418</v>
      </c>
      <c r="G52" s="14" t="s">
        <v>419</v>
      </c>
      <c r="H52" s="2"/>
      <c r="I52" s="23" t="str">
        <f>+91 (8678991919)</f>
        <v>#ERROR!</v>
      </c>
      <c r="J52" s="2"/>
      <c r="K52" s="2"/>
      <c r="L52" s="14" t="s">
        <v>420</v>
      </c>
      <c r="M52" s="2"/>
      <c r="N52" s="2"/>
      <c r="O52" s="2"/>
      <c r="P52" s="2"/>
      <c r="Q52" s="2"/>
      <c r="R52" s="2"/>
      <c r="S52" s="2"/>
      <c r="T52" s="2"/>
      <c r="U52" s="2"/>
      <c r="V52" s="2"/>
      <c r="W52" s="2"/>
      <c r="X52" s="2"/>
      <c r="Y52" s="2"/>
      <c r="Z52" s="2"/>
    </row>
    <row r="53" ht="15.75" customHeight="1">
      <c r="A53" s="2" t="s">
        <v>421</v>
      </c>
      <c r="B53" s="2" t="s">
        <v>422</v>
      </c>
      <c r="C53" s="26" t="s">
        <v>423</v>
      </c>
      <c r="D53" s="2"/>
      <c r="E53" s="27" t="s">
        <v>424</v>
      </c>
      <c r="F53" s="2" t="s">
        <v>425</v>
      </c>
      <c r="G53" s="2" t="s">
        <v>426</v>
      </c>
      <c r="H53" s="2" t="s">
        <v>427</v>
      </c>
      <c r="I53" s="23" t="str">
        <f>+91 (8580464578)</f>
        <v>#ERROR!</v>
      </c>
      <c r="J53" s="2"/>
      <c r="K53" s="2"/>
      <c r="L53" s="14" t="s">
        <v>428</v>
      </c>
      <c r="M53" s="2"/>
      <c r="N53" s="2"/>
      <c r="O53" s="2"/>
      <c r="P53" s="2"/>
      <c r="Q53" s="2"/>
      <c r="R53" s="2"/>
      <c r="S53" s="2"/>
      <c r="T53" s="2"/>
      <c r="U53" s="2"/>
      <c r="V53" s="2"/>
      <c r="W53" s="2"/>
      <c r="X53" s="2"/>
      <c r="Y53" s="2"/>
      <c r="Z53" s="2"/>
    </row>
    <row r="54" ht="15.75" customHeight="1">
      <c r="A54" s="2" t="s">
        <v>429</v>
      </c>
      <c r="B54" s="2" t="s">
        <v>422</v>
      </c>
      <c r="C54" s="25" t="s">
        <v>430</v>
      </c>
      <c r="D54" s="2" t="s">
        <v>92</v>
      </c>
      <c r="E54" s="27" t="s">
        <v>431</v>
      </c>
      <c r="F54" s="2" t="s">
        <v>432</v>
      </c>
      <c r="G54" s="2" t="s">
        <v>433</v>
      </c>
      <c r="H54" s="2" t="s">
        <v>434</v>
      </c>
      <c r="I54" s="23" t="str">
        <f>+91 (9600197603)</f>
        <v>#ERROR!</v>
      </c>
      <c r="J54" s="2"/>
      <c r="K54" s="2"/>
      <c r="L54" s="14" t="s">
        <v>435</v>
      </c>
      <c r="M54" s="2"/>
      <c r="N54" s="2" t="s">
        <v>436</v>
      </c>
      <c r="O54" s="21" t="s">
        <v>437</v>
      </c>
      <c r="P54" s="2"/>
      <c r="Q54" s="2"/>
      <c r="R54" s="2"/>
      <c r="S54" s="2"/>
      <c r="T54" s="2"/>
      <c r="U54" s="2"/>
      <c r="V54" s="2"/>
      <c r="W54" s="2"/>
      <c r="X54" s="2"/>
      <c r="Y54" s="2"/>
      <c r="Z54" s="2"/>
    </row>
    <row r="55" ht="15.75" customHeight="1">
      <c r="A55" s="22" t="s">
        <v>438</v>
      </c>
      <c r="B55" s="22" t="s">
        <v>439</v>
      </c>
      <c r="C55" s="22" t="s">
        <v>440</v>
      </c>
      <c r="D55" s="22" t="s">
        <v>47</v>
      </c>
      <c r="E55" s="28">
        <v>0.7083333333333334</v>
      </c>
      <c r="F55" s="22" t="s">
        <v>441</v>
      </c>
      <c r="G55" s="22" t="s">
        <v>442</v>
      </c>
      <c r="H55" s="22" t="s">
        <v>443</v>
      </c>
      <c r="I55" s="2"/>
      <c r="J55" s="2"/>
      <c r="K55" s="22" t="s">
        <v>209</v>
      </c>
      <c r="L55" s="22" t="s">
        <v>26</v>
      </c>
      <c r="M55" s="2"/>
      <c r="N55" s="22" t="s">
        <v>444</v>
      </c>
      <c r="O55" s="2"/>
      <c r="P55" s="2"/>
      <c r="Q55" s="2"/>
      <c r="R55" s="2"/>
      <c r="S55" s="2"/>
      <c r="T55" s="2"/>
      <c r="U55" s="2"/>
      <c r="V55" s="2"/>
      <c r="W55" s="2"/>
      <c r="X55" s="2"/>
      <c r="Y55" s="2"/>
      <c r="Z55" s="2"/>
    </row>
    <row r="56" ht="15.75" customHeight="1">
      <c r="A56" s="22" t="s">
        <v>445</v>
      </c>
      <c r="B56" s="22" t="s">
        <v>446</v>
      </c>
      <c r="C56" s="22" t="s">
        <v>447</v>
      </c>
      <c r="D56" s="22" t="s">
        <v>20</v>
      </c>
      <c r="E56" s="28">
        <v>0.7291666666666666</v>
      </c>
      <c r="F56" s="22" t="s">
        <v>448</v>
      </c>
      <c r="G56" s="22" t="s">
        <v>449</v>
      </c>
      <c r="H56" s="2"/>
      <c r="I56" s="2"/>
      <c r="J56" s="2"/>
      <c r="K56" s="22" t="s">
        <v>209</v>
      </c>
      <c r="L56" s="22" t="s">
        <v>26</v>
      </c>
      <c r="M56" s="2"/>
      <c r="N56" s="22" t="s">
        <v>444</v>
      </c>
      <c r="O56" s="2"/>
      <c r="P56" s="2"/>
      <c r="Q56" s="2"/>
      <c r="R56" s="2"/>
      <c r="S56" s="2"/>
      <c r="T56" s="2"/>
      <c r="U56" s="2"/>
      <c r="V56" s="2"/>
      <c r="W56" s="2"/>
      <c r="X56" s="2"/>
      <c r="Y56" s="2"/>
      <c r="Z56" s="2"/>
    </row>
    <row r="57" ht="15.75" customHeight="1">
      <c r="A57" s="22" t="s">
        <v>450</v>
      </c>
      <c r="B57" s="22" t="s">
        <v>451</v>
      </c>
      <c r="C57" s="22" t="s">
        <v>452</v>
      </c>
      <c r="D57" s="22" t="s">
        <v>88</v>
      </c>
      <c r="E57" s="28">
        <v>0.625</v>
      </c>
      <c r="F57" s="22" t="s">
        <v>453</v>
      </c>
      <c r="G57" s="22" t="s">
        <v>454</v>
      </c>
      <c r="H57" s="22" t="s">
        <v>455</v>
      </c>
      <c r="I57" s="2"/>
      <c r="J57" s="2"/>
      <c r="K57" s="22" t="s">
        <v>209</v>
      </c>
      <c r="L57" s="22" t="s">
        <v>26</v>
      </c>
      <c r="M57" s="2"/>
      <c r="N57" s="22" t="s">
        <v>444</v>
      </c>
      <c r="O57" s="2"/>
      <c r="P57" s="2"/>
      <c r="Q57" s="2"/>
      <c r="R57" s="2"/>
      <c r="S57" s="2"/>
      <c r="T57" s="2"/>
      <c r="U57" s="2"/>
      <c r="V57" s="2"/>
      <c r="W57" s="2"/>
      <c r="X57" s="2"/>
      <c r="Y57" s="2"/>
      <c r="Z57" s="2"/>
    </row>
    <row r="58" ht="15.75" customHeight="1">
      <c r="A58" s="22" t="s">
        <v>456</v>
      </c>
      <c r="B58" s="22" t="s">
        <v>457</v>
      </c>
      <c r="C58" s="22" t="s">
        <v>452</v>
      </c>
      <c r="D58" s="22" t="s">
        <v>88</v>
      </c>
      <c r="E58" s="28">
        <v>0.7083333333333334</v>
      </c>
      <c r="F58" s="22" t="s">
        <v>441</v>
      </c>
      <c r="G58" s="22" t="s">
        <v>458</v>
      </c>
      <c r="H58" s="22" t="s">
        <v>459</v>
      </c>
      <c r="I58" s="2"/>
      <c r="J58" s="2"/>
      <c r="K58" s="22" t="s">
        <v>209</v>
      </c>
      <c r="L58" s="22" t="s">
        <v>26</v>
      </c>
      <c r="M58" s="2"/>
      <c r="N58" s="22" t="s">
        <v>444</v>
      </c>
      <c r="O58" s="2"/>
      <c r="P58" s="2"/>
      <c r="Q58" s="2"/>
      <c r="R58" s="2"/>
      <c r="S58" s="2"/>
      <c r="T58" s="2"/>
      <c r="U58" s="2"/>
      <c r="V58" s="2"/>
      <c r="W58" s="2"/>
      <c r="X58" s="2"/>
      <c r="Y58" s="2"/>
      <c r="Z58" s="2"/>
    </row>
    <row r="59" ht="15.75" customHeight="1">
      <c r="A59" s="22" t="s">
        <v>460</v>
      </c>
      <c r="B59" s="22" t="s">
        <v>461</v>
      </c>
      <c r="C59" s="22" t="s">
        <v>386</v>
      </c>
      <c r="D59" s="22" t="s">
        <v>119</v>
      </c>
      <c r="E59" s="28">
        <v>0.4166666666666667</v>
      </c>
      <c r="F59" s="22" t="s">
        <v>462</v>
      </c>
      <c r="G59" s="22" t="s">
        <v>463</v>
      </c>
      <c r="H59" s="22" t="s">
        <v>464</v>
      </c>
      <c r="I59" s="2"/>
      <c r="J59" s="2"/>
      <c r="K59" s="22" t="s">
        <v>209</v>
      </c>
      <c r="L59" s="22" t="s">
        <v>465</v>
      </c>
      <c r="M59" s="2"/>
      <c r="N59" s="22" t="s">
        <v>444</v>
      </c>
      <c r="O59" s="2"/>
      <c r="P59" s="2"/>
      <c r="Q59" s="2"/>
      <c r="R59" s="2"/>
      <c r="S59" s="2"/>
      <c r="T59" s="2"/>
      <c r="U59" s="2"/>
      <c r="V59" s="2"/>
      <c r="W59" s="2"/>
      <c r="X59" s="2"/>
      <c r="Y59" s="2"/>
      <c r="Z59" s="2"/>
    </row>
    <row r="60" ht="15.75" customHeight="1">
      <c r="A60" s="22" t="s">
        <v>466</v>
      </c>
      <c r="B60" s="22" t="s">
        <v>446</v>
      </c>
      <c r="C60" s="22" t="s">
        <v>467</v>
      </c>
      <c r="D60" s="22" t="s">
        <v>298</v>
      </c>
      <c r="E60" s="28">
        <v>0.75</v>
      </c>
      <c r="F60" s="22" t="s">
        <v>448</v>
      </c>
      <c r="G60" s="22" t="s">
        <v>468</v>
      </c>
      <c r="H60" s="22" t="s">
        <v>469</v>
      </c>
      <c r="I60" s="2"/>
      <c r="J60" s="2"/>
      <c r="K60" s="22" t="s">
        <v>209</v>
      </c>
      <c r="L60" s="22" t="s">
        <v>26</v>
      </c>
      <c r="M60" s="2"/>
      <c r="N60" s="22" t="s">
        <v>444</v>
      </c>
      <c r="O60" s="2"/>
      <c r="P60" s="2"/>
      <c r="Q60" s="2"/>
      <c r="R60" s="2"/>
      <c r="S60" s="2"/>
      <c r="T60" s="2"/>
      <c r="U60" s="2"/>
      <c r="V60" s="2"/>
      <c r="W60" s="2"/>
      <c r="X60" s="2"/>
      <c r="Y60" s="2"/>
      <c r="Z60" s="2"/>
    </row>
    <row r="61" ht="15.75" customHeight="1">
      <c r="A61" s="22" t="s">
        <v>470</v>
      </c>
      <c r="B61" s="22" t="s">
        <v>471</v>
      </c>
      <c r="C61" s="22" t="s">
        <v>472</v>
      </c>
      <c r="D61" s="22" t="s">
        <v>473</v>
      </c>
      <c r="E61" s="22" t="s">
        <v>474</v>
      </c>
      <c r="F61" s="22" t="s">
        <v>475</v>
      </c>
      <c r="G61" s="22" t="s">
        <v>476</v>
      </c>
      <c r="H61" s="22" t="s">
        <v>477</v>
      </c>
      <c r="I61" s="2"/>
      <c r="J61" s="2"/>
      <c r="K61" s="22" t="s">
        <v>209</v>
      </c>
      <c r="L61" s="22" t="s">
        <v>26</v>
      </c>
      <c r="M61" s="2"/>
      <c r="N61" s="22" t="s">
        <v>444</v>
      </c>
      <c r="O61" s="2"/>
      <c r="P61" s="2"/>
      <c r="Q61" s="2"/>
      <c r="R61" s="2"/>
      <c r="S61" s="2"/>
      <c r="T61" s="2"/>
      <c r="U61" s="2"/>
      <c r="V61" s="2"/>
      <c r="W61" s="2"/>
      <c r="X61" s="2"/>
      <c r="Y61" s="2"/>
      <c r="Z61" s="2"/>
    </row>
    <row r="62" ht="15.75" customHeight="1">
      <c r="A62" s="22" t="s">
        <v>478</v>
      </c>
      <c r="B62" s="22" t="s">
        <v>479</v>
      </c>
      <c r="C62" s="22" t="s">
        <v>447</v>
      </c>
      <c r="D62" s="22" t="s">
        <v>20</v>
      </c>
      <c r="E62" s="22" t="s">
        <v>480</v>
      </c>
      <c r="F62" s="22" t="s">
        <v>481</v>
      </c>
      <c r="G62" s="22" t="s">
        <v>482</v>
      </c>
      <c r="H62" s="22" t="s">
        <v>483</v>
      </c>
      <c r="I62" s="2"/>
      <c r="J62" s="2"/>
      <c r="K62" s="22" t="s">
        <v>209</v>
      </c>
      <c r="L62" s="22" t="s">
        <v>26</v>
      </c>
      <c r="M62" s="2"/>
      <c r="N62" s="22" t="s">
        <v>444</v>
      </c>
      <c r="O62" s="2"/>
      <c r="P62" s="2"/>
      <c r="Q62" s="2"/>
      <c r="R62" s="2"/>
      <c r="S62" s="2"/>
      <c r="T62" s="2"/>
      <c r="U62" s="2"/>
      <c r="V62" s="2"/>
      <c r="W62" s="2"/>
      <c r="X62" s="2"/>
      <c r="Y62" s="2"/>
      <c r="Z62" s="2"/>
    </row>
    <row r="63" ht="15.75" customHeight="1">
      <c r="A63" s="22" t="s">
        <v>484</v>
      </c>
      <c r="B63" s="22" t="s">
        <v>485</v>
      </c>
      <c r="C63" s="22" t="s">
        <v>486</v>
      </c>
      <c r="D63" s="22" t="s">
        <v>92</v>
      </c>
      <c r="E63" s="22" t="s">
        <v>480</v>
      </c>
      <c r="F63" s="22" t="s">
        <v>481</v>
      </c>
      <c r="G63" s="22" t="s">
        <v>487</v>
      </c>
      <c r="H63" s="22" t="s">
        <v>483</v>
      </c>
      <c r="I63" s="2"/>
      <c r="J63" s="2"/>
      <c r="K63" s="22" t="s">
        <v>209</v>
      </c>
      <c r="L63" s="22" t="s">
        <v>26</v>
      </c>
      <c r="M63" s="2"/>
      <c r="N63" s="22" t="s">
        <v>444</v>
      </c>
      <c r="O63" s="2"/>
      <c r="P63" s="2"/>
      <c r="Q63" s="2"/>
      <c r="R63" s="2"/>
      <c r="S63" s="2"/>
      <c r="T63" s="2"/>
      <c r="U63" s="2"/>
      <c r="V63" s="2"/>
      <c r="W63" s="2"/>
      <c r="X63" s="2"/>
      <c r="Y63" s="2"/>
      <c r="Z63" s="2"/>
    </row>
    <row r="64" ht="15.75" customHeight="1">
      <c r="A64" s="22" t="s">
        <v>488</v>
      </c>
      <c r="B64" s="22" t="s">
        <v>489</v>
      </c>
      <c r="C64" s="22" t="s">
        <v>215</v>
      </c>
      <c r="D64" s="2"/>
      <c r="E64" s="2"/>
      <c r="F64" s="22" t="s">
        <v>481</v>
      </c>
      <c r="G64" s="22" t="s">
        <v>490</v>
      </c>
      <c r="H64" s="22" t="s">
        <v>483</v>
      </c>
      <c r="I64" s="2"/>
      <c r="J64" s="2"/>
      <c r="K64" s="22" t="s">
        <v>209</v>
      </c>
      <c r="L64" s="22" t="s">
        <v>26</v>
      </c>
      <c r="M64" s="2"/>
      <c r="N64" s="22" t="s">
        <v>444</v>
      </c>
      <c r="O64" s="2"/>
      <c r="P64" s="2"/>
      <c r="Q64" s="2"/>
      <c r="R64" s="2"/>
      <c r="S64" s="2"/>
      <c r="T64" s="2"/>
      <c r="U64" s="2"/>
      <c r="V64" s="2"/>
      <c r="W64" s="2"/>
      <c r="X64" s="2"/>
      <c r="Y64" s="2"/>
      <c r="Z64" s="2"/>
    </row>
    <row r="65" ht="15.75" customHeight="1">
      <c r="A65" s="22" t="s">
        <v>491</v>
      </c>
      <c r="B65" s="22" t="s">
        <v>492</v>
      </c>
      <c r="C65" s="22" t="s">
        <v>215</v>
      </c>
      <c r="D65" s="22" t="s">
        <v>493</v>
      </c>
      <c r="E65" s="22" t="s">
        <v>494</v>
      </c>
      <c r="F65" s="22" t="s">
        <v>495</v>
      </c>
      <c r="G65" s="22" t="s">
        <v>496</v>
      </c>
      <c r="H65" s="22" t="s">
        <v>497</v>
      </c>
      <c r="I65" s="2" t="str">
        <f>+91 (8347009166)</f>
        <v>#ERROR!</v>
      </c>
      <c r="J65" s="2"/>
      <c r="K65" s="22" t="s">
        <v>498</v>
      </c>
      <c r="L65" s="22" t="s">
        <v>499</v>
      </c>
      <c r="M65" s="29" t="s">
        <v>500</v>
      </c>
      <c r="N65" s="22" t="s">
        <v>501</v>
      </c>
      <c r="O65" s="29" t="s">
        <v>502</v>
      </c>
      <c r="P65" s="2"/>
      <c r="Q65" s="2"/>
      <c r="R65" s="2"/>
      <c r="S65" s="2"/>
      <c r="T65" s="2"/>
      <c r="U65" s="2"/>
      <c r="V65" s="2"/>
      <c r="W65" s="2"/>
      <c r="X65" s="2"/>
      <c r="Y65" s="2"/>
      <c r="Z65" s="2"/>
    </row>
    <row r="66" ht="15.75" customHeight="1">
      <c r="A66" s="22" t="s">
        <v>503</v>
      </c>
      <c r="B66" s="22" t="s">
        <v>504</v>
      </c>
      <c r="C66" s="22" t="s">
        <v>505</v>
      </c>
      <c r="D66" s="22" t="s">
        <v>493</v>
      </c>
      <c r="E66" s="22" t="s">
        <v>506</v>
      </c>
      <c r="F66" s="22" t="s">
        <v>507</v>
      </c>
      <c r="G66" s="22" t="s">
        <v>508</v>
      </c>
      <c r="H66" s="22" t="s">
        <v>509</v>
      </c>
      <c r="I66" s="2" t="str">
        <f>+91 (9226635804) / 0413 (2222795 / 2222449)</f>
        <v>#ERROR!</v>
      </c>
      <c r="J66" s="2"/>
      <c r="K66" s="22" t="s">
        <v>510</v>
      </c>
      <c r="L66" s="22" t="s">
        <v>511</v>
      </c>
      <c r="M66" s="2"/>
      <c r="N66" s="22" t="s">
        <v>512</v>
      </c>
      <c r="O66" s="29" t="s">
        <v>513</v>
      </c>
      <c r="P66" s="2"/>
      <c r="Q66" s="2"/>
      <c r="R66" s="2"/>
      <c r="S66" s="2"/>
      <c r="T66" s="2"/>
      <c r="U66" s="2"/>
      <c r="V66" s="2"/>
      <c r="W66" s="2"/>
      <c r="X66" s="2"/>
      <c r="Y66" s="2"/>
      <c r="Z66" s="2"/>
    </row>
    <row r="67" ht="15.75" customHeight="1">
      <c r="A67" s="2"/>
      <c r="B67" s="2"/>
      <c r="C67" s="24"/>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4"/>
      <c r="D68" s="2"/>
      <c r="E68" s="2"/>
      <c r="F68" s="2"/>
      <c r="G68" s="2"/>
      <c r="H68" s="2"/>
      <c r="I68" s="2"/>
      <c r="J68" s="2"/>
      <c r="K68" s="2"/>
      <c r="L68" s="2"/>
      <c r="M68" s="2"/>
      <c r="N68" s="2"/>
      <c r="O68" s="2"/>
      <c r="P68" s="2"/>
      <c r="Q68" s="2"/>
      <c r="R68" s="2"/>
      <c r="S68" s="2"/>
      <c r="T68" s="2"/>
      <c r="U68" s="2"/>
      <c r="V68" s="2"/>
      <c r="W68" s="2"/>
      <c r="X68" s="2"/>
      <c r="Y68" s="2"/>
      <c r="Z68" s="2"/>
    </row>
    <row r="69" ht="15.75" customHeight="1">
      <c r="A69" s="2" t="s">
        <v>514</v>
      </c>
      <c r="B69" s="2" t="s">
        <v>515</v>
      </c>
      <c r="C69" s="24" t="s">
        <v>452</v>
      </c>
      <c r="D69" s="2" t="s">
        <v>88</v>
      </c>
      <c r="E69" s="2" t="s">
        <v>516</v>
      </c>
      <c r="F69" s="2" t="s">
        <v>517</v>
      </c>
      <c r="G69" s="2" t="s">
        <v>518</v>
      </c>
      <c r="H69" s="14" t="s">
        <v>519</v>
      </c>
      <c r="I69" s="2"/>
      <c r="J69" s="14" t="s">
        <v>520</v>
      </c>
      <c r="K69" s="2"/>
      <c r="L69" s="14" t="s">
        <v>521</v>
      </c>
      <c r="M69" s="2"/>
      <c r="N69" s="2"/>
      <c r="O69" s="2"/>
      <c r="P69" s="2"/>
      <c r="Q69" s="2"/>
      <c r="R69" s="2"/>
      <c r="S69" s="2"/>
      <c r="T69" s="2"/>
      <c r="U69" s="2"/>
      <c r="V69" s="2"/>
      <c r="W69" s="2"/>
      <c r="X69" s="2"/>
      <c r="Y69" s="2"/>
      <c r="Z69" s="2"/>
    </row>
    <row r="70" ht="15.75" customHeight="1">
      <c r="A70" s="2" t="s">
        <v>522</v>
      </c>
      <c r="B70" s="2" t="s">
        <v>523</v>
      </c>
      <c r="C70" s="30">
        <v>45936.0</v>
      </c>
      <c r="D70" s="2" t="s">
        <v>268</v>
      </c>
      <c r="E70" s="2" t="s">
        <v>524</v>
      </c>
      <c r="F70" s="2" t="s">
        <v>525</v>
      </c>
      <c r="G70" s="14" t="s">
        <v>526</v>
      </c>
      <c r="H70" s="2"/>
      <c r="I70" s="2"/>
      <c r="J70" s="2"/>
      <c r="K70" s="2"/>
      <c r="L70" s="14" t="s">
        <v>527</v>
      </c>
      <c r="M70" s="2"/>
      <c r="N70" s="2"/>
      <c r="O70" s="2"/>
      <c r="P70" s="2"/>
      <c r="Q70" s="2"/>
      <c r="R70" s="2"/>
      <c r="S70" s="2"/>
      <c r="T70" s="2"/>
      <c r="U70" s="2"/>
      <c r="V70" s="2"/>
      <c r="W70" s="2"/>
      <c r="X70" s="2"/>
      <c r="Y70" s="2"/>
      <c r="Z70" s="2"/>
    </row>
    <row r="71" ht="15.75" customHeight="1">
      <c r="A71" s="2" t="s">
        <v>528</v>
      </c>
      <c r="B71" s="2" t="s">
        <v>529</v>
      </c>
      <c r="C71" s="25" t="s">
        <v>530</v>
      </c>
      <c r="D71" s="2"/>
      <c r="E71" s="2"/>
      <c r="F71" s="14" t="s">
        <v>531</v>
      </c>
      <c r="G71" s="2"/>
      <c r="H71" s="2"/>
      <c r="I71" s="2"/>
      <c r="J71" s="2"/>
      <c r="K71" s="2"/>
      <c r="L71" s="2"/>
      <c r="M71" s="2"/>
      <c r="N71" s="2"/>
      <c r="O71" s="2"/>
      <c r="P71" s="2"/>
      <c r="Q71" s="2"/>
      <c r="R71" s="2"/>
      <c r="S71" s="2"/>
      <c r="T71" s="2"/>
      <c r="U71" s="2"/>
      <c r="V71" s="2"/>
      <c r="W71" s="2"/>
      <c r="X71" s="2"/>
      <c r="Y71" s="2"/>
      <c r="Z71" s="2"/>
    </row>
    <row r="72" ht="15.75" customHeight="1">
      <c r="A72" s="2" t="s">
        <v>532</v>
      </c>
      <c r="B72" s="2" t="s">
        <v>533</v>
      </c>
      <c r="C72" s="30">
        <v>45936.0</v>
      </c>
      <c r="D72" s="2" t="s">
        <v>268</v>
      </c>
      <c r="E72" s="13">
        <v>0.6666666666666666</v>
      </c>
      <c r="F72" s="2" t="s">
        <v>534</v>
      </c>
      <c r="G72" s="14" t="s">
        <v>535</v>
      </c>
      <c r="H72" s="2"/>
      <c r="I72" s="2"/>
      <c r="J72" s="2"/>
      <c r="K72" s="2"/>
      <c r="L72" s="2"/>
      <c r="M72" s="2"/>
      <c r="N72" s="2"/>
      <c r="O72" s="2"/>
      <c r="P72" s="2"/>
      <c r="Q72" s="2"/>
      <c r="R72" s="2"/>
      <c r="S72" s="2"/>
      <c r="T72" s="2"/>
      <c r="U72" s="2"/>
      <c r="V72" s="2"/>
      <c r="W72" s="2"/>
      <c r="X72" s="2"/>
      <c r="Y72" s="2"/>
      <c r="Z72" s="2"/>
    </row>
    <row r="73" ht="15.75" customHeight="1">
      <c r="A73" s="2" t="s">
        <v>536</v>
      </c>
      <c r="B73" s="2" t="s">
        <v>537</v>
      </c>
      <c r="C73" s="31">
        <v>45943.0</v>
      </c>
      <c r="D73" s="2" t="s">
        <v>268</v>
      </c>
      <c r="E73" s="13">
        <v>0.6666666666666666</v>
      </c>
      <c r="F73" s="2" t="s">
        <v>534</v>
      </c>
      <c r="G73" s="14" t="s">
        <v>538</v>
      </c>
      <c r="H73" s="2"/>
      <c r="I73" s="2"/>
      <c r="J73" s="2"/>
      <c r="K73" s="2"/>
      <c r="L73" s="2"/>
      <c r="M73" s="2"/>
      <c r="N73" s="2"/>
      <c r="O73" s="2"/>
      <c r="P73" s="2"/>
      <c r="Q73" s="2"/>
      <c r="R73" s="2"/>
      <c r="S73" s="2"/>
      <c r="T73" s="2"/>
      <c r="U73" s="2"/>
      <c r="V73" s="2"/>
      <c r="W73" s="2"/>
      <c r="X73" s="2"/>
      <c r="Y73" s="2"/>
      <c r="Z73" s="2"/>
    </row>
    <row r="74" ht="15.75" customHeight="1">
      <c r="A74" s="2" t="s">
        <v>539</v>
      </c>
      <c r="B74" s="2" t="s">
        <v>540</v>
      </c>
      <c r="C74" s="31">
        <v>45950.0</v>
      </c>
      <c r="D74" s="2" t="s">
        <v>268</v>
      </c>
      <c r="E74" s="13">
        <v>0.6666666666666666</v>
      </c>
      <c r="F74" s="2" t="s">
        <v>534</v>
      </c>
      <c r="G74" s="14" t="s">
        <v>541</v>
      </c>
      <c r="H74" s="2"/>
      <c r="I74" s="2"/>
      <c r="J74" s="2"/>
      <c r="K74" s="2"/>
      <c r="L74" s="2"/>
      <c r="M74" s="2"/>
      <c r="N74" s="2"/>
      <c r="O74" s="2"/>
      <c r="P74" s="2"/>
      <c r="Q74" s="2"/>
      <c r="R74" s="2"/>
      <c r="S74" s="2"/>
      <c r="T74" s="2"/>
      <c r="U74" s="2"/>
      <c r="V74" s="2"/>
      <c r="W74" s="2"/>
      <c r="X74" s="2"/>
      <c r="Y74" s="2"/>
      <c r="Z74" s="2"/>
    </row>
    <row r="75" ht="15.75" customHeight="1">
      <c r="A75" s="2" t="s">
        <v>542</v>
      </c>
      <c r="B75" s="2" t="s">
        <v>540</v>
      </c>
      <c r="C75" s="31">
        <v>45957.0</v>
      </c>
      <c r="D75" s="2" t="s">
        <v>268</v>
      </c>
      <c r="E75" s="13">
        <v>0.6666666666666666</v>
      </c>
      <c r="F75" s="2" t="s">
        <v>534</v>
      </c>
      <c r="G75" s="14" t="s">
        <v>543</v>
      </c>
      <c r="H75" s="2"/>
      <c r="I75" s="2"/>
      <c r="J75" s="2"/>
      <c r="K75" s="2"/>
      <c r="L75" s="2"/>
      <c r="M75" s="2"/>
      <c r="N75" s="2"/>
      <c r="O75" s="2"/>
      <c r="P75" s="2"/>
      <c r="Q75" s="2"/>
      <c r="R75" s="2"/>
      <c r="S75" s="2"/>
      <c r="T75" s="2"/>
      <c r="U75" s="2"/>
      <c r="V75" s="2"/>
      <c r="W75" s="2"/>
      <c r="X75" s="2"/>
      <c r="Y75" s="2"/>
      <c r="Z75" s="2"/>
    </row>
    <row r="76" ht="15.75" customHeight="1">
      <c r="A76" s="2" t="s">
        <v>544</v>
      </c>
      <c r="B76" s="2" t="s">
        <v>545</v>
      </c>
      <c r="C76" s="30">
        <v>45936.0</v>
      </c>
      <c r="D76" s="2" t="s">
        <v>268</v>
      </c>
      <c r="E76" s="27" t="s">
        <v>546</v>
      </c>
      <c r="F76" s="14" t="s">
        <v>547</v>
      </c>
      <c r="G76" s="2"/>
      <c r="H76" s="2"/>
      <c r="I76" s="2"/>
      <c r="J76" s="2"/>
      <c r="K76" s="2"/>
      <c r="L76" s="2"/>
      <c r="M76" s="2"/>
      <c r="N76" s="2"/>
      <c r="O76" s="2"/>
      <c r="P76" s="2"/>
      <c r="Q76" s="2"/>
      <c r="R76" s="2"/>
      <c r="S76" s="2"/>
      <c r="T76" s="2"/>
      <c r="U76" s="2"/>
      <c r="V76" s="2"/>
      <c r="W76" s="2"/>
      <c r="X76" s="2"/>
      <c r="Y76" s="2"/>
      <c r="Z76" s="2"/>
    </row>
    <row r="77" ht="15.75" customHeight="1">
      <c r="A77" s="2" t="s">
        <v>548</v>
      </c>
      <c r="B77" s="2" t="s">
        <v>549</v>
      </c>
      <c r="C77" s="30">
        <v>45933.0</v>
      </c>
      <c r="D77" s="2" t="s">
        <v>298</v>
      </c>
      <c r="E77" s="2" t="s">
        <v>550</v>
      </c>
      <c r="F77" s="2" t="s">
        <v>551</v>
      </c>
      <c r="G77" s="14" t="s">
        <v>552</v>
      </c>
      <c r="H77" s="2"/>
      <c r="I77" s="2"/>
      <c r="J77" s="2"/>
      <c r="K77" s="2"/>
      <c r="L77" s="14" t="s">
        <v>553</v>
      </c>
      <c r="M77" s="2"/>
      <c r="N77" s="2"/>
      <c r="O77" s="2"/>
      <c r="P77" s="2"/>
      <c r="Q77" s="2"/>
      <c r="R77" s="2"/>
      <c r="S77" s="2"/>
      <c r="T77" s="2"/>
      <c r="U77" s="2"/>
      <c r="V77" s="2"/>
      <c r="W77" s="2"/>
      <c r="X77" s="2"/>
      <c r="Y77" s="2"/>
      <c r="Z77" s="2"/>
    </row>
    <row r="78" ht="15.75" customHeight="1">
      <c r="A78" s="2" t="s">
        <v>554</v>
      </c>
      <c r="B78" s="2" t="s">
        <v>549</v>
      </c>
      <c r="C78" s="31">
        <v>45940.0</v>
      </c>
      <c r="D78" s="2"/>
      <c r="E78" s="2"/>
      <c r="F78" s="2" t="s">
        <v>555</v>
      </c>
      <c r="G78" s="14" t="s">
        <v>556</v>
      </c>
      <c r="H78" s="2"/>
      <c r="I78" s="2"/>
      <c r="J78" s="2"/>
      <c r="K78" s="2"/>
      <c r="L78" s="14" t="s">
        <v>553</v>
      </c>
      <c r="M78" s="2"/>
      <c r="N78" s="2"/>
      <c r="O78" s="2"/>
      <c r="P78" s="2"/>
      <c r="Q78" s="2"/>
      <c r="R78" s="2"/>
      <c r="S78" s="2"/>
      <c r="T78" s="2"/>
      <c r="U78" s="2"/>
      <c r="V78" s="2"/>
      <c r="W78" s="2"/>
      <c r="X78" s="2"/>
      <c r="Y78" s="2"/>
      <c r="Z78" s="2"/>
    </row>
    <row r="79" ht="15.75" customHeight="1">
      <c r="A79" s="2" t="s">
        <v>557</v>
      </c>
      <c r="B79" s="2" t="s">
        <v>549</v>
      </c>
      <c r="C79" s="31">
        <v>45947.0</v>
      </c>
      <c r="D79" s="2"/>
      <c r="E79" s="27"/>
      <c r="F79" s="2" t="s">
        <v>555</v>
      </c>
      <c r="G79" s="14" t="s">
        <v>558</v>
      </c>
      <c r="H79" s="2"/>
      <c r="I79" s="2"/>
      <c r="J79" s="2"/>
      <c r="K79" s="2"/>
      <c r="L79" s="14" t="s">
        <v>553</v>
      </c>
      <c r="M79" s="2"/>
      <c r="N79" s="2"/>
      <c r="O79" s="2"/>
      <c r="P79" s="2"/>
      <c r="Q79" s="2"/>
      <c r="R79" s="2"/>
      <c r="S79" s="2"/>
      <c r="T79" s="2"/>
      <c r="U79" s="2"/>
      <c r="V79" s="2"/>
      <c r="W79" s="2"/>
      <c r="X79" s="2"/>
      <c r="Y79" s="2"/>
      <c r="Z79" s="2"/>
    </row>
    <row r="80" ht="15.75" customHeight="1">
      <c r="A80" s="2" t="s">
        <v>559</v>
      </c>
      <c r="B80" s="2" t="s">
        <v>560</v>
      </c>
      <c r="C80" s="31">
        <v>45954.0</v>
      </c>
      <c r="D80" s="2"/>
      <c r="E80" s="2"/>
      <c r="F80" s="2" t="s">
        <v>555</v>
      </c>
      <c r="G80" s="14" t="s">
        <v>561</v>
      </c>
      <c r="H80" s="2"/>
      <c r="I80" s="2"/>
      <c r="J80" s="2"/>
      <c r="K80" s="2"/>
      <c r="L80" s="14" t="s">
        <v>553</v>
      </c>
      <c r="M80" s="2"/>
      <c r="N80" s="2"/>
      <c r="O80" s="2"/>
      <c r="P80" s="2"/>
      <c r="Q80" s="2"/>
      <c r="R80" s="2"/>
      <c r="S80" s="2"/>
      <c r="T80" s="2"/>
      <c r="U80" s="2"/>
      <c r="V80" s="2"/>
      <c r="W80" s="2"/>
      <c r="X80" s="2"/>
      <c r="Y80" s="2"/>
      <c r="Z80" s="2"/>
    </row>
    <row r="81" ht="15.75" customHeight="1">
      <c r="A81" s="2" t="s">
        <v>562</v>
      </c>
      <c r="B81" s="2" t="s">
        <v>560</v>
      </c>
      <c r="C81" s="31">
        <v>45961.0</v>
      </c>
      <c r="D81" s="2"/>
      <c r="E81" s="2"/>
      <c r="F81" s="2" t="s">
        <v>555</v>
      </c>
      <c r="G81" s="14" t="s">
        <v>563</v>
      </c>
      <c r="H81" s="2"/>
      <c r="I81" s="2"/>
      <c r="J81" s="2"/>
      <c r="K81" s="2"/>
      <c r="L81" s="14" t="s">
        <v>553</v>
      </c>
      <c r="M81" s="2"/>
      <c r="N81" s="2"/>
      <c r="O81" s="2"/>
      <c r="P81" s="2"/>
      <c r="Q81" s="2"/>
      <c r="R81" s="2"/>
      <c r="S81" s="2"/>
      <c r="T81" s="2"/>
      <c r="U81" s="2"/>
      <c r="V81" s="2"/>
      <c r="W81" s="2"/>
      <c r="X81" s="2"/>
      <c r="Y81" s="2"/>
      <c r="Z81" s="2"/>
    </row>
    <row r="82" ht="15.75" customHeight="1">
      <c r="A82" s="2" t="s">
        <v>564</v>
      </c>
      <c r="B82" s="2" t="s">
        <v>565</v>
      </c>
      <c r="C82" s="2" t="s">
        <v>440</v>
      </c>
      <c r="D82" s="2" t="s">
        <v>47</v>
      </c>
      <c r="E82" s="2" t="s">
        <v>566</v>
      </c>
      <c r="F82" s="2" t="s">
        <v>534</v>
      </c>
      <c r="G82" s="2" t="s">
        <v>567</v>
      </c>
      <c r="H82" s="2" t="s">
        <v>568</v>
      </c>
      <c r="I82" s="2"/>
      <c r="J82" s="2"/>
      <c r="K82" s="2"/>
      <c r="L82" s="14" t="s">
        <v>569</v>
      </c>
      <c r="M82" s="2"/>
      <c r="N82" s="2"/>
      <c r="O82" s="2"/>
      <c r="P82" s="2"/>
      <c r="Q82" s="2"/>
      <c r="R82" s="2"/>
      <c r="S82" s="2"/>
      <c r="T82" s="2"/>
      <c r="U82" s="2"/>
      <c r="V82" s="2"/>
      <c r="W82" s="2"/>
      <c r="X82" s="2"/>
      <c r="Y82" s="2"/>
      <c r="Z82" s="2"/>
    </row>
    <row r="83" ht="15.75" customHeight="1">
      <c r="A83" s="2" t="s">
        <v>570</v>
      </c>
      <c r="B83" s="2" t="s">
        <v>571</v>
      </c>
      <c r="C83" s="2" t="s">
        <v>440</v>
      </c>
      <c r="D83" s="2" t="s">
        <v>47</v>
      </c>
      <c r="E83" s="2" t="s">
        <v>572</v>
      </c>
      <c r="F83" s="2" t="s">
        <v>573</v>
      </c>
      <c r="G83" s="2" t="s">
        <v>574</v>
      </c>
      <c r="H83" s="2" t="s">
        <v>568</v>
      </c>
      <c r="I83" s="2"/>
      <c r="J83" s="2"/>
      <c r="K83" s="2"/>
      <c r="L83" s="14" t="s">
        <v>575</v>
      </c>
      <c r="M83" s="2"/>
      <c r="N83" s="2"/>
      <c r="O83" s="2"/>
      <c r="P83" s="2"/>
      <c r="Q83" s="2"/>
      <c r="R83" s="2"/>
      <c r="S83" s="2"/>
      <c r="T83" s="2"/>
      <c r="U83" s="2"/>
      <c r="V83" s="2"/>
      <c r="W83" s="2"/>
      <c r="X83" s="2"/>
      <c r="Y83" s="2"/>
      <c r="Z83" s="2"/>
    </row>
    <row r="84" ht="15.75" customHeight="1">
      <c r="A84" s="2" t="s">
        <v>570</v>
      </c>
      <c r="B84" s="2" t="s">
        <v>571</v>
      </c>
      <c r="C84" s="2" t="s">
        <v>467</v>
      </c>
      <c r="D84" s="2" t="s">
        <v>298</v>
      </c>
      <c r="E84" s="13">
        <v>0.75</v>
      </c>
      <c r="F84" s="2" t="s">
        <v>576</v>
      </c>
      <c r="G84" s="14" t="s">
        <v>574</v>
      </c>
      <c r="H84" s="2"/>
      <c r="I84" s="2"/>
      <c r="J84" s="2"/>
      <c r="K84" s="2"/>
      <c r="L84" s="14" t="s">
        <v>575</v>
      </c>
      <c r="M84" s="2"/>
      <c r="N84" s="2"/>
      <c r="O84" s="2"/>
      <c r="P84" s="2"/>
      <c r="Q84" s="2"/>
      <c r="R84" s="2"/>
      <c r="S84" s="2"/>
      <c r="T84" s="2"/>
      <c r="U84" s="2"/>
      <c r="V84" s="2"/>
      <c r="W84" s="2"/>
      <c r="X84" s="2"/>
      <c r="Y84" s="2"/>
      <c r="Z84" s="2"/>
    </row>
    <row r="85" ht="15.75" customHeight="1">
      <c r="A85" s="2" t="s">
        <v>577</v>
      </c>
      <c r="B85" s="2" t="s">
        <v>578</v>
      </c>
      <c r="C85" s="30">
        <v>45933.0</v>
      </c>
      <c r="D85" s="2" t="s">
        <v>298</v>
      </c>
      <c r="E85" s="2" t="s">
        <v>579</v>
      </c>
      <c r="F85" s="2" t="s">
        <v>534</v>
      </c>
      <c r="G85" s="2" t="s">
        <v>580</v>
      </c>
      <c r="H85" s="2" t="s">
        <v>581</v>
      </c>
      <c r="I85" s="2"/>
      <c r="J85" s="2"/>
      <c r="K85" s="2"/>
      <c r="L85" s="14" t="s">
        <v>582</v>
      </c>
      <c r="M85" s="2"/>
      <c r="N85" s="2"/>
      <c r="O85" s="2"/>
      <c r="P85" s="2"/>
      <c r="Q85" s="2"/>
      <c r="R85" s="2"/>
      <c r="S85" s="2"/>
      <c r="T85" s="2"/>
      <c r="U85" s="2"/>
      <c r="V85" s="2"/>
      <c r="W85" s="2"/>
      <c r="X85" s="2"/>
      <c r="Y85" s="2"/>
      <c r="Z85" s="2"/>
    </row>
    <row r="86" ht="15.75" customHeight="1">
      <c r="A86" s="2" t="s">
        <v>577</v>
      </c>
      <c r="B86" s="2" t="s">
        <v>578</v>
      </c>
      <c r="C86" s="2" t="s">
        <v>583</v>
      </c>
      <c r="D86" s="2" t="s">
        <v>298</v>
      </c>
      <c r="E86" s="2" t="s">
        <v>579</v>
      </c>
      <c r="F86" s="14" t="s">
        <v>534</v>
      </c>
      <c r="G86" s="2"/>
      <c r="H86" s="2" t="s">
        <v>581</v>
      </c>
      <c r="I86" s="2"/>
      <c r="J86" s="2"/>
      <c r="K86" s="2"/>
      <c r="L86" s="2"/>
      <c r="M86" s="2"/>
      <c r="N86" s="2"/>
      <c r="O86" s="2"/>
      <c r="P86" s="2"/>
      <c r="Q86" s="2"/>
      <c r="R86" s="2"/>
      <c r="S86" s="2"/>
      <c r="T86" s="2"/>
      <c r="U86" s="2"/>
      <c r="V86" s="2"/>
      <c r="W86" s="2"/>
      <c r="X86" s="2"/>
      <c r="Y86" s="2"/>
      <c r="Z86" s="2"/>
    </row>
    <row r="87" ht="15.75" customHeight="1">
      <c r="A87" s="2" t="s">
        <v>584</v>
      </c>
      <c r="B87" s="2" t="s">
        <v>585</v>
      </c>
      <c r="C87" s="30">
        <v>45938.0</v>
      </c>
      <c r="D87" s="2" t="s">
        <v>20</v>
      </c>
      <c r="E87" s="13">
        <v>0.6805555555555556</v>
      </c>
      <c r="F87" s="2" t="s">
        <v>586</v>
      </c>
      <c r="G87" s="2" t="s">
        <v>587</v>
      </c>
      <c r="H87" s="2" t="s">
        <v>588</v>
      </c>
      <c r="I87" s="2"/>
      <c r="J87" s="14" t="s">
        <v>589</v>
      </c>
      <c r="K87" s="2"/>
      <c r="L87" s="2"/>
      <c r="M87" s="2"/>
      <c r="N87" s="2"/>
      <c r="O87" s="2"/>
      <c r="P87" s="2"/>
      <c r="Q87" s="2"/>
      <c r="R87" s="2"/>
      <c r="S87" s="2"/>
      <c r="T87" s="2"/>
      <c r="U87" s="2"/>
      <c r="V87" s="2"/>
      <c r="W87" s="2"/>
      <c r="X87" s="2"/>
      <c r="Y87" s="2"/>
      <c r="Z87" s="2"/>
    </row>
    <row r="88" ht="15.75" customHeight="1">
      <c r="A88" s="2" t="s">
        <v>590</v>
      </c>
      <c r="B88" s="2" t="s">
        <v>591</v>
      </c>
      <c r="C88" s="2" t="s">
        <v>486</v>
      </c>
      <c r="D88" s="2" t="s">
        <v>92</v>
      </c>
      <c r="E88" s="27" t="s">
        <v>592</v>
      </c>
      <c r="F88" s="14" t="s">
        <v>534</v>
      </c>
      <c r="G88" s="2"/>
      <c r="H88" s="14" t="s">
        <v>593</v>
      </c>
      <c r="I88" s="2"/>
      <c r="J88" s="2"/>
      <c r="K88" s="2"/>
      <c r="L88" s="2"/>
      <c r="M88" s="2"/>
      <c r="N88" s="2"/>
      <c r="O88" s="2"/>
      <c r="P88" s="2"/>
      <c r="Q88" s="2"/>
      <c r="R88" s="2"/>
      <c r="S88" s="2"/>
      <c r="T88" s="2"/>
      <c r="U88" s="2"/>
      <c r="V88" s="2"/>
      <c r="W88" s="2"/>
      <c r="X88" s="2"/>
      <c r="Y88" s="2"/>
      <c r="Z88" s="2"/>
    </row>
    <row r="89" ht="15.75" customHeight="1">
      <c r="A89" s="2" t="s">
        <v>594</v>
      </c>
      <c r="B89" s="2" t="s">
        <v>595</v>
      </c>
      <c r="C89" s="2" t="s">
        <v>596</v>
      </c>
      <c r="D89" s="2" t="s">
        <v>268</v>
      </c>
      <c r="E89" s="2" t="s">
        <v>597</v>
      </c>
      <c r="F89" s="14" t="s">
        <v>534</v>
      </c>
      <c r="G89" s="2"/>
      <c r="H89" s="14" t="s">
        <v>598</v>
      </c>
      <c r="I89" s="2"/>
      <c r="J89" s="2"/>
      <c r="K89" s="2"/>
      <c r="L89" s="2"/>
      <c r="M89" s="2"/>
      <c r="N89" s="2"/>
      <c r="O89" s="2"/>
      <c r="P89" s="2"/>
      <c r="Q89" s="2"/>
      <c r="R89" s="2"/>
      <c r="S89" s="2"/>
      <c r="T89" s="2"/>
      <c r="U89" s="2"/>
      <c r="V89" s="2"/>
      <c r="W89" s="2"/>
      <c r="X89" s="2"/>
      <c r="Y89" s="2"/>
      <c r="Z89" s="2"/>
    </row>
    <row r="90" ht="15.75" customHeight="1">
      <c r="A90" s="2" t="s">
        <v>599</v>
      </c>
      <c r="B90" s="2" t="s">
        <v>595</v>
      </c>
      <c r="C90" s="2" t="s">
        <v>440</v>
      </c>
      <c r="D90" s="2" t="s">
        <v>47</v>
      </c>
      <c r="E90" s="2" t="s">
        <v>597</v>
      </c>
      <c r="F90" s="14" t="s">
        <v>534</v>
      </c>
      <c r="G90" s="2"/>
      <c r="H90" s="14" t="s">
        <v>598</v>
      </c>
      <c r="I90" s="2"/>
      <c r="J90" s="2"/>
      <c r="K90" s="2"/>
      <c r="L90" s="2"/>
      <c r="M90" s="2"/>
      <c r="N90" s="2"/>
      <c r="O90" s="2"/>
      <c r="P90" s="2"/>
      <c r="Q90" s="2"/>
      <c r="R90" s="2"/>
      <c r="S90" s="2"/>
      <c r="T90" s="2"/>
      <c r="U90" s="2"/>
      <c r="V90" s="2"/>
      <c r="W90" s="2"/>
      <c r="X90" s="2"/>
      <c r="Y90" s="2"/>
      <c r="Z90" s="2"/>
    </row>
    <row r="91" ht="15.75" customHeight="1">
      <c r="A91" s="2" t="s">
        <v>600</v>
      </c>
      <c r="B91" s="2" t="s">
        <v>595</v>
      </c>
      <c r="C91" s="2" t="s">
        <v>601</v>
      </c>
      <c r="D91" s="22" t="s">
        <v>602</v>
      </c>
      <c r="E91" s="2" t="s">
        <v>603</v>
      </c>
      <c r="F91" s="14" t="s">
        <v>534</v>
      </c>
      <c r="G91" s="2"/>
      <c r="H91" s="2"/>
      <c r="I91" s="2"/>
      <c r="J91" s="2"/>
      <c r="K91" s="2"/>
      <c r="L91" s="2"/>
      <c r="M91" s="2"/>
      <c r="N91" s="2"/>
      <c r="O91" s="2"/>
      <c r="P91" s="2"/>
      <c r="Q91" s="2"/>
      <c r="R91" s="2"/>
      <c r="S91" s="2"/>
      <c r="T91" s="2"/>
      <c r="U91" s="2"/>
      <c r="V91" s="2"/>
      <c r="W91" s="2"/>
      <c r="X91" s="2"/>
      <c r="Y91" s="2"/>
      <c r="Z91" s="2"/>
    </row>
    <row r="92" ht="15.75" customHeight="1">
      <c r="A92" s="2" t="s">
        <v>604</v>
      </c>
      <c r="B92" s="2" t="s">
        <v>605</v>
      </c>
      <c r="C92" s="2" t="s">
        <v>452</v>
      </c>
      <c r="D92" s="2" t="s">
        <v>88</v>
      </c>
      <c r="E92" s="2" t="s">
        <v>550</v>
      </c>
      <c r="F92" s="14" t="s">
        <v>534</v>
      </c>
      <c r="G92" s="2"/>
      <c r="H92" s="14" t="s">
        <v>606</v>
      </c>
      <c r="I92" s="2"/>
      <c r="J92" s="2"/>
      <c r="K92" s="2"/>
      <c r="L92" s="2"/>
      <c r="M92" s="2"/>
      <c r="N92" s="2"/>
      <c r="O92" s="2"/>
      <c r="P92" s="2"/>
      <c r="Q92" s="2"/>
      <c r="R92" s="2"/>
      <c r="S92" s="2"/>
      <c r="T92" s="2"/>
      <c r="U92" s="2"/>
      <c r="V92" s="2"/>
      <c r="W92" s="2"/>
      <c r="X92" s="2"/>
      <c r="Y92" s="2"/>
      <c r="Z92" s="2"/>
    </row>
    <row r="93" ht="15.75" customHeight="1">
      <c r="A93" s="2" t="s">
        <v>607</v>
      </c>
      <c r="B93" s="2" t="s">
        <v>595</v>
      </c>
      <c r="C93" s="2" t="s">
        <v>467</v>
      </c>
      <c r="D93" s="2" t="s">
        <v>298</v>
      </c>
      <c r="E93" s="2" t="s">
        <v>597</v>
      </c>
      <c r="F93" s="14" t="s">
        <v>534</v>
      </c>
      <c r="G93" s="2"/>
      <c r="H93" s="14" t="s">
        <v>598</v>
      </c>
      <c r="I93" s="2"/>
      <c r="J93" s="2"/>
      <c r="K93" s="2"/>
      <c r="L93" s="2"/>
      <c r="M93" s="2"/>
      <c r="N93" s="2"/>
      <c r="O93" s="2"/>
      <c r="P93" s="2"/>
      <c r="Q93" s="2"/>
      <c r="R93" s="2"/>
      <c r="S93" s="2"/>
      <c r="T93" s="2"/>
      <c r="U93" s="2"/>
      <c r="V93" s="2"/>
      <c r="W93" s="2"/>
      <c r="X93" s="2"/>
      <c r="Y93" s="2"/>
      <c r="Z93" s="2"/>
    </row>
    <row r="94" ht="15.75" customHeight="1">
      <c r="A94" s="2" t="s">
        <v>608</v>
      </c>
      <c r="B94" s="2" t="s">
        <v>609</v>
      </c>
      <c r="C94" s="2" t="s">
        <v>386</v>
      </c>
      <c r="D94" s="2" t="s">
        <v>119</v>
      </c>
      <c r="E94" s="2" t="s">
        <v>610</v>
      </c>
      <c r="F94" s="14" t="s">
        <v>534</v>
      </c>
      <c r="G94" s="2"/>
      <c r="H94" s="14" t="s">
        <v>611</v>
      </c>
      <c r="I94" s="2"/>
      <c r="J94" s="2"/>
      <c r="K94" s="2"/>
      <c r="L94" s="2"/>
      <c r="M94" s="2"/>
      <c r="N94" s="2"/>
      <c r="O94" s="2"/>
      <c r="P94" s="2"/>
      <c r="Q94" s="2"/>
      <c r="R94" s="2"/>
      <c r="S94" s="2"/>
      <c r="T94" s="2"/>
      <c r="U94" s="2"/>
      <c r="V94" s="2"/>
      <c r="W94" s="2"/>
      <c r="X94" s="2"/>
      <c r="Y94" s="2"/>
      <c r="Z94" s="2"/>
    </row>
    <row r="95" ht="15.75" customHeight="1">
      <c r="A95" s="2" t="s">
        <v>612</v>
      </c>
      <c r="B95" s="2" t="s">
        <v>613</v>
      </c>
      <c r="C95" s="2" t="s">
        <v>486</v>
      </c>
      <c r="D95" s="2" t="s">
        <v>92</v>
      </c>
      <c r="E95" s="2" t="s">
        <v>614</v>
      </c>
      <c r="F95" s="2" t="s">
        <v>615</v>
      </c>
      <c r="G95" s="2" t="s">
        <v>616</v>
      </c>
      <c r="H95" s="2" t="s">
        <v>617</v>
      </c>
      <c r="I95" s="2"/>
      <c r="J95" s="14" t="s">
        <v>618</v>
      </c>
      <c r="K95" s="2"/>
      <c r="L95" s="14" t="s">
        <v>569</v>
      </c>
      <c r="M95" s="2"/>
      <c r="N95" s="2"/>
      <c r="O95" s="2"/>
      <c r="P95" s="2"/>
      <c r="Q95" s="2"/>
      <c r="R95" s="2"/>
      <c r="S95" s="2"/>
      <c r="T95" s="2"/>
      <c r="U95" s="2"/>
      <c r="V95" s="2"/>
      <c r="W95" s="2"/>
      <c r="X95" s="2"/>
      <c r="Y95" s="2"/>
      <c r="Z95" s="2"/>
    </row>
    <row r="96" ht="15.75" customHeight="1">
      <c r="A96" s="2" t="s">
        <v>619</v>
      </c>
      <c r="B96" s="2" t="s">
        <v>620</v>
      </c>
      <c r="C96" s="14" t="s">
        <v>621</v>
      </c>
      <c r="D96" s="2"/>
      <c r="E96" s="27"/>
      <c r="F96" s="2" t="s">
        <v>622</v>
      </c>
      <c r="G96" s="2" t="s">
        <v>623</v>
      </c>
      <c r="H96" s="2" t="s">
        <v>624</v>
      </c>
      <c r="I96" s="2"/>
      <c r="J96" s="2"/>
      <c r="K96" s="2"/>
      <c r="L96" s="2"/>
      <c r="M96" s="2"/>
      <c r="N96" s="2"/>
      <c r="O96" s="2"/>
      <c r="P96" s="2"/>
      <c r="Q96" s="2"/>
      <c r="R96" s="2"/>
      <c r="S96" s="2"/>
      <c r="T96" s="2"/>
      <c r="U96" s="2"/>
      <c r="V96" s="2"/>
      <c r="W96" s="2"/>
      <c r="X96" s="2"/>
      <c r="Y96" s="2"/>
      <c r="Z96" s="2"/>
    </row>
    <row r="97" ht="15.75" customHeight="1">
      <c r="A97" s="2" t="s">
        <v>625</v>
      </c>
      <c r="B97" s="2" t="s">
        <v>626</v>
      </c>
      <c r="C97" s="2" t="s">
        <v>452</v>
      </c>
      <c r="D97" s="2" t="s">
        <v>88</v>
      </c>
      <c r="E97" s="2" t="s">
        <v>516</v>
      </c>
      <c r="F97" s="2" t="s">
        <v>627</v>
      </c>
      <c r="G97" s="2" t="s">
        <v>628</v>
      </c>
      <c r="H97" s="2" t="s">
        <v>629</v>
      </c>
      <c r="I97" s="2" t="s">
        <v>630</v>
      </c>
      <c r="J97" s="2"/>
      <c r="K97" s="2"/>
      <c r="L97" s="14" t="s">
        <v>631</v>
      </c>
      <c r="M97" s="2"/>
      <c r="N97" s="2"/>
      <c r="O97" s="2"/>
      <c r="P97" s="2"/>
      <c r="Q97" s="2"/>
      <c r="R97" s="2"/>
      <c r="S97" s="2"/>
      <c r="T97" s="2"/>
      <c r="U97" s="2"/>
      <c r="V97" s="2"/>
      <c r="W97" s="2"/>
      <c r="X97" s="2"/>
      <c r="Y97" s="2"/>
      <c r="Z97" s="2"/>
    </row>
    <row r="98" ht="15.75" customHeight="1">
      <c r="A98" s="2" t="s">
        <v>632</v>
      </c>
      <c r="B98" s="2" t="s">
        <v>633</v>
      </c>
      <c r="C98" s="2" t="s">
        <v>386</v>
      </c>
      <c r="D98" s="2" t="s">
        <v>119</v>
      </c>
      <c r="E98" s="2" t="s">
        <v>634</v>
      </c>
      <c r="F98" s="2" t="s">
        <v>635</v>
      </c>
      <c r="G98" s="2" t="s">
        <v>636</v>
      </c>
      <c r="H98" s="14" t="s">
        <v>637</v>
      </c>
      <c r="I98" s="2"/>
      <c r="J98" s="2"/>
      <c r="K98" s="2" t="s">
        <v>209</v>
      </c>
      <c r="L98" s="14" t="s">
        <v>638</v>
      </c>
      <c r="M98" s="2"/>
      <c r="N98" s="2"/>
      <c r="O98" s="2"/>
      <c r="P98" s="2"/>
      <c r="Q98" s="2"/>
      <c r="R98" s="2"/>
      <c r="S98" s="2"/>
      <c r="T98" s="2"/>
      <c r="U98" s="2"/>
      <c r="V98" s="2"/>
      <c r="W98" s="2"/>
      <c r="X98" s="2"/>
      <c r="Y98" s="2"/>
      <c r="Z98" s="2"/>
    </row>
    <row r="99" ht="15.75" customHeight="1">
      <c r="A99" s="2" t="s">
        <v>639</v>
      </c>
      <c r="B99" s="2" t="s">
        <v>640</v>
      </c>
      <c r="C99" s="2" t="s">
        <v>641</v>
      </c>
      <c r="D99" s="22" t="s">
        <v>602</v>
      </c>
      <c r="E99" s="2" t="s">
        <v>642</v>
      </c>
      <c r="F99" s="2" t="s">
        <v>643</v>
      </c>
      <c r="G99" s="2" t="s">
        <v>644</v>
      </c>
      <c r="H99" s="2" t="s">
        <v>645</v>
      </c>
      <c r="I99" s="20">
        <v>4.132623773E9</v>
      </c>
      <c r="J99" s="2"/>
      <c r="K99" s="2"/>
      <c r="L99" s="14" t="s">
        <v>646</v>
      </c>
      <c r="M99" s="2"/>
      <c r="N99" s="2"/>
      <c r="O99" s="2"/>
      <c r="P99" s="2"/>
      <c r="Q99" s="2"/>
      <c r="R99" s="2"/>
      <c r="S99" s="2"/>
      <c r="T99" s="2"/>
      <c r="U99" s="2"/>
      <c r="V99" s="2"/>
      <c r="W99" s="2"/>
      <c r="X99" s="2"/>
      <c r="Y99" s="2"/>
      <c r="Z99" s="2"/>
    </row>
    <row r="100" ht="15.75" customHeight="1">
      <c r="A100" s="2" t="s">
        <v>647</v>
      </c>
      <c r="B100" s="2" t="s">
        <v>648</v>
      </c>
      <c r="C100" s="2" t="s">
        <v>641</v>
      </c>
      <c r="D100" s="22" t="s">
        <v>602</v>
      </c>
      <c r="E100" s="2" t="s">
        <v>642</v>
      </c>
      <c r="F100" s="2" t="s">
        <v>643</v>
      </c>
      <c r="G100" s="2" t="s">
        <v>644</v>
      </c>
      <c r="H100" s="2" t="s">
        <v>645</v>
      </c>
      <c r="I100" s="20">
        <v>4.132623773E9</v>
      </c>
      <c r="J100" s="2"/>
      <c r="K100" s="2"/>
      <c r="L100" s="14" t="s">
        <v>646</v>
      </c>
      <c r="M100" s="2"/>
      <c r="N100" s="2"/>
      <c r="O100" s="2"/>
      <c r="P100" s="2"/>
      <c r="Q100" s="2"/>
      <c r="R100" s="2"/>
      <c r="S100" s="2"/>
      <c r="T100" s="2"/>
      <c r="U100" s="2"/>
      <c r="V100" s="2"/>
      <c r="W100" s="2"/>
      <c r="X100" s="2"/>
      <c r="Y100" s="2"/>
      <c r="Z100" s="2"/>
    </row>
    <row r="101" ht="15.75" customHeight="1">
      <c r="A101" s="2" t="s">
        <v>649</v>
      </c>
      <c r="B101" s="2" t="s">
        <v>650</v>
      </c>
      <c r="C101" s="2" t="s">
        <v>319</v>
      </c>
      <c r="D101" s="2"/>
      <c r="E101" s="2"/>
      <c r="F101" s="2" t="s">
        <v>643</v>
      </c>
      <c r="G101" s="2" t="s">
        <v>644</v>
      </c>
      <c r="H101" s="2" t="s">
        <v>651</v>
      </c>
      <c r="I101" s="20">
        <v>4.132623773E9</v>
      </c>
      <c r="J101" s="2"/>
      <c r="K101" s="2"/>
      <c r="L101" s="14" t="s">
        <v>646</v>
      </c>
      <c r="M101" s="2"/>
      <c r="N101" s="2"/>
      <c r="O101" s="2"/>
      <c r="P101" s="2"/>
      <c r="Q101" s="2"/>
      <c r="R101" s="2"/>
      <c r="S101" s="2"/>
      <c r="T101" s="2"/>
      <c r="U101" s="2"/>
      <c r="V101" s="2"/>
      <c r="W101" s="2"/>
      <c r="X101" s="2"/>
      <c r="Y101" s="2"/>
      <c r="Z101" s="2"/>
    </row>
    <row r="102" ht="15.75" customHeight="1">
      <c r="A102" s="2" t="s">
        <v>652</v>
      </c>
      <c r="B102" s="2" t="s">
        <v>653</v>
      </c>
      <c r="C102" s="24" t="s">
        <v>319</v>
      </c>
      <c r="D102" s="2"/>
      <c r="E102" s="2"/>
      <c r="F102" s="2" t="s">
        <v>643</v>
      </c>
      <c r="G102" s="2" t="s">
        <v>644</v>
      </c>
      <c r="H102" s="2" t="s">
        <v>654</v>
      </c>
      <c r="I102" s="20">
        <v>4.132623773E9</v>
      </c>
      <c r="J102" s="2"/>
      <c r="K102" s="2"/>
      <c r="L102" s="14" t="s">
        <v>646</v>
      </c>
      <c r="M102" s="2"/>
      <c r="N102" s="2"/>
      <c r="O102" s="2"/>
      <c r="P102" s="2"/>
      <c r="Q102" s="2"/>
      <c r="R102" s="2"/>
      <c r="S102" s="2"/>
      <c r="T102" s="2"/>
      <c r="U102" s="2"/>
      <c r="V102" s="2"/>
      <c r="W102" s="2"/>
      <c r="X102" s="2"/>
      <c r="Y102" s="2"/>
      <c r="Z102" s="2"/>
    </row>
    <row r="103" ht="15.75" customHeight="1">
      <c r="A103" s="2" t="s">
        <v>655</v>
      </c>
      <c r="B103" s="2" t="s">
        <v>656</v>
      </c>
      <c r="C103" s="2" t="s">
        <v>486</v>
      </c>
      <c r="D103" s="2" t="s">
        <v>92</v>
      </c>
      <c r="E103" s="2" t="s">
        <v>657</v>
      </c>
      <c r="F103" s="2" t="s">
        <v>643</v>
      </c>
      <c r="G103" s="2" t="s">
        <v>644</v>
      </c>
      <c r="H103" s="2" t="s">
        <v>658</v>
      </c>
      <c r="I103" s="20">
        <v>4.132623773E9</v>
      </c>
      <c r="J103" s="2"/>
      <c r="K103" s="2"/>
      <c r="L103" s="14" t="s">
        <v>646</v>
      </c>
      <c r="M103" s="2"/>
      <c r="N103" s="2"/>
      <c r="O103" s="2"/>
      <c r="P103" s="2"/>
      <c r="Q103" s="2"/>
      <c r="R103" s="2"/>
      <c r="S103" s="2"/>
      <c r="T103" s="2"/>
      <c r="U103" s="2"/>
      <c r="V103" s="2"/>
      <c r="W103" s="2"/>
      <c r="X103" s="2"/>
      <c r="Y103" s="2"/>
      <c r="Z103" s="2"/>
    </row>
    <row r="104" ht="15.75" customHeight="1">
      <c r="A104" s="2" t="s">
        <v>659</v>
      </c>
      <c r="B104" s="2" t="s">
        <v>660</v>
      </c>
      <c r="C104" s="2" t="s">
        <v>661</v>
      </c>
      <c r="D104" s="2"/>
      <c r="E104" s="2" t="s">
        <v>662</v>
      </c>
      <c r="F104" s="2" t="s">
        <v>643</v>
      </c>
      <c r="G104" s="2" t="s">
        <v>644</v>
      </c>
      <c r="H104" s="2" t="s">
        <v>663</v>
      </c>
      <c r="I104" s="20">
        <v>4.132623773E9</v>
      </c>
      <c r="J104" s="2"/>
      <c r="K104" s="2"/>
      <c r="L104" s="14" t="s">
        <v>646</v>
      </c>
      <c r="M104" s="2"/>
      <c r="N104" s="2"/>
      <c r="O104" s="2"/>
      <c r="P104" s="2"/>
      <c r="Q104" s="2"/>
      <c r="R104" s="2"/>
      <c r="S104" s="2"/>
      <c r="T104" s="2"/>
      <c r="U104" s="2"/>
      <c r="V104" s="2"/>
      <c r="W104" s="2"/>
      <c r="X104" s="2"/>
      <c r="Y104" s="2"/>
      <c r="Z104" s="2"/>
    </row>
    <row r="105" ht="15.75" customHeight="1">
      <c r="A105" s="2" t="s">
        <v>664</v>
      </c>
      <c r="B105" s="2" t="s">
        <v>665</v>
      </c>
      <c r="C105" s="2" t="s">
        <v>452</v>
      </c>
      <c r="D105" s="2" t="s">
        <v>88</v>
      </c>
      <c r="E105" s="2" t="s">
        <v>666</v>
      </c>
      <c r="F105" s="2" t="s">
        <v>643</v>
      </c>
      <c r="G105" s="2" t="s">
        <v>644</v>
      </c>
      <c r="H105" s="2" t="s">
        <v>667</v>
      </c>
      <c r="I105" s="20">
        <v>4.132623773E9</v>
      </c>
      <c r="J105" s="2"/>
      <c r="K105" s="2"/>
      <c r="L105" s="14" t="s">
        <v>646</v>
      </c>
      <c r="M105" s="2"/>
      <c r="N105" s="2"/>
      <c r="O105" s="2"/>
      <c r="P105" s="2"/>
      <c r="Q105" s="2"/>
      <c r="R105" s="2"/>
      <c r="S105" s="2"/>
      <c r="T105" s="2"/>
      <c r="U105" s="2"/>
      <c r="V105" s="2"/>
      <c r="W105" s="2"/>
      <c r="X105" s="2"/>
      <c r="Y105" s="2"/>
      <c r="Z105" s="2"/>
    </row>
    <row r="106" ht="15.75" customHeight="1">
      <c r="A106" s="2" t="s">
        <v>668</v>
      </c>
      <c r="B106" s="2" t="s">
        <v>665</v>
      </c>
      <c r="C106" s="25" t="s">
        <v>452</v>
      </c>
      <c r="D106" s="2" t="s">
        <v>88</v>
      </c>
      <c r="E106" s="2" t="s">
        <v>669</v>
      </c>
      <c r="F106" s="2" t="s">
        <v>643</v>
      </c>
      <c r="G106" s="2" t="s">
        <v>644</v>
      </c>
      <c r="H106" s="2" t="s">
        <v>667</v>
      </c>
      <c r="I106" s="20">
        <v>4.132623773E9</v>
      </c>
      <c r="J106" s="2"/>
      <c r="K106" s="2"/>
      <c r="L106" s="14" t="s">
        <v>646</v>
      </c>
      <c r="M106" s="2"/>
      <c r="N106" s="2"/>
      <c r="O106" s="2"/>
      <c r="P106" s="2"/>
      <c r="Q106" s="2"/>
      <c r="R106" s="2"/>
      <c r="S106" s="2"/>
      <c r="T106" s="2"/>
      <c r="U106" s="2"/>
      <c r="V106" s="2"/>
      <c r="W106" s="2"/>
      <c r="X106" s="2"/>
      <c r="Y106" s="2"/>
      <c r="Z106" s="2"/>
    </row>
    <row r="107" ht="15.75" customHeight="1">
      <c r="A107" s="2" t="s">
        <v>670</v>
      </c>
      <c r="B107" s="2" t="s">
        <v>671</v>
      </c>
      <c r="C107" s="25" t="s">
        <v>319</v>
      </c>
      <c r="D107" s="2"/>
      <c r="E107" s="2"/>
      <c r="F107" s="2" t="s">
        <v>643</v>
      </c>
      <c r="G107" s="2" t="s">
        <v>644</v>
      </c>
      <c r="H107" s="2" t="s">
        <v>672</v>
      </c>
      <c r="I107" s="20">
        <v>4.132623773E9</v>
      </c>
      <c r="J107" s="2"/>
      <c r="K107" s="2"/>
      <c r="L107" s="14" t="s">
        <v>646</v>
      </c>
      <c r="M107" s="2"/>
      <c r="N107" s="2"/>
      <c r="O107" s="2"/>
      <c r="P107" s="2"/>
      <c r="Q107" s="2"/>
      <c r="R107" s="2"/>
      <c r="S107" s="2"/>
      <c r="T107" s="2"/>
      <c r="U107" s="2"/>
      <c r="V107" s="2"/>
      <c r="W107" s="2"/>
      <c r="X107" s="2"/>
      <c r="Y107" s="2"/>
      <c r="Z107" s="2"/>
    </row>
    <row r="108" ht="15.75" customHeight="1">
      <c r="A108" s="2" t="s">
        <v>673</v>
      </c>
      <c r="B108" s="2" t="s">
        <v>674</v>
      </c>
      <c r="C108" s="2" t="s">
        <v>319</v>
      </c>
      <c r="D108" s="2"/>
      <c r="E108" s="2"/>
      <c r="F108" s="2" t="s">
        <v>643</v>
      </c>
      <c r="G108" s="2" t="s">
        <v>644</v>
      </c>
      <c r="H108" s="2" t="s">
        <v>675</v>
      </c>
      <c r="I108" s="20">
        <v>4.132623773E9</v>
      </c>
      <c r="J108" s="2"/>
      <c r="K108" s="2"/>
      <c r="L108" s="14" t="s">
        <v>646</v>
      </c>
      <c r="M108" s="2"/>
      <c r="N108" s="2"/>
      <c r="O108" s="2"/>
      <c r="P108" s="2"/>
      <c r="Q108" s="2"/>
      <c r="R108" s="2"/>
      <c r="S108" s="2"/>
      <c r="T108" s="2"/>
      <c r="U108" s="2"/>
      <c r="V108" s="2"/>
      <c r="W108" s="2"/>
      <c r="X108" s="2"/>
      <c r="Y108" s="2"/>
      <c r="Z108" s="2"/>
    </row>
    <row r="109" ht="15.75" customHeight="1">
      <c r="A109" s="2" t="s">
        <v>676</v>
      </c>
      <c r="B109" s="2" t="s">
        <v>677</v>
      </c>
      <c r="C109" s="2" t="s">
        <v>661</v>
      </c>
      <c r="D109" s="2"/>
      <c r="E109" s="2" t="s">
        <v>678</v>
      </c>
      <c r="F109" s="2" t="s">
        <v>643</v>
      </c>
      <c r="G109" s="2" t="s">
        <v>644</v>
      </c>
      <c r="H109" s="2" t="s">
        <v>679</v>
      </c>
      <c r="I109" s="20">
        <v>4.132623773E9</v>
      </c>
      <c r="J109" s="2"/>
      <c r="K109" s="2"/>
      <c r="L109" s="14" t="s">
        <v>646</v>
      </c>
      <c r="M109" s="2"/>
      <c r="N109" s="2"/>
      <c r="O109" s="2"/>
      <c r="P109" s="2"/>
      <c r="Q109" s="2"/>
      <c r="R109" s="2"/>
      <c r="S109" s="2"/>
      <c r="T109" s="2"/>
      <c r="U109" s="2"/>
      <c r="V109" s="2"/>
      <c r="W109" s="2"/>
      <c r="X109" s="2"/>
      <c r="Y109" s="2"/>
      <c r="Z109" s="2"/>
    </row>
    <row r="110" ht="15.75" customHeight="1">
      <c r="A110" s="2" t="s">
        <v>680</v>
      </c>
      <c r="B110" s="2" t="s">
        <v>681</v>
      </c>
      <c r="C110" s="30">
        <v>45939.0</v>
      </c>
      <c r="D110" s="2"/>
      <c r="E110" s="2" t="s">
        <v>682</v>
      </c>
      <c r="F110" s="14" t="s">
        <v>683</v>
      </c>
      <c r="G110" s="2"/>
      <c r="H110" s="2" t="s">
        <v>684</v>
      </c>
      <c r="I110" s="2"/>
      <c r="J110" s="2"/>
      <c r="K110" s="2"/>
      <c r="L110" s="2"/>
      <c r="M110" s="2"/>
      <c r="N110" s="2"/>
      <c r="O110" s="2"/>
      <c r="P110" s="2"/>
      <c r="Q110" s="2"/>
      <c r="R110" s="2"/>
      <c r="S110" s="2"/>
      <c r="T110" s="2"/>
      <c r="U110" s="2"/>
      <c r="V110" s="2"/>
      <c r="W110" s="2"/>
      <c r="X110" s="2"/>
      <c r="Y110" s="2"/>
      <c r="Z110" s="2"/>
    </row>
    <row r="111" ht="15.75" customHeight="1">
      <c r="A111" s="2" t="s">
        <v>685</v>
      </c>
      <c r="B111" s="2" t="s">
        <v>686</v>
      </c>
      <c r="C111" s="2" t="s">
        <v>447</v>
      </c>
      <c r="D111" s="2" t="s">
        <v>20</v>
      </c>
      <c r="E111" s="2" t="s">
        <v>687</v>
      </c>
      <c r="F111" s="2" t="s">
        <v>688</v>
      </c>
      <c r="G111" s="2" t="s">
        <v>689</v>
      </c>
      <c r="H111" s="2" t="s">
        <v>690</v>
      </c>
      <c r="I111" s="2"/>
      <c r="J111" s="2"/>
      <c r="K111" s="2"/>
      <c r="L111" s="14" t="s">
        <v>691</v>
      </c>
      <c r="M111" s="2"/>
      <c r="N111" s="2"/>
      <c r="O111" s="2"/>
      <c r="P111" s="2"/>
      <c r="Q111" s="2"/>
      <c r="R111" s="2"/>
      <c r="S111" s="2"/>
      <c r="T111" s="2"/>
      <c r="U111" s="2"/>
      <c r="V111" s="2"/>
      <c r="W111" s="2"/>
      <c r="X111" s="2"/>
      <c r="Y111" s="2"/>
      <c r="Z111" s="2"/>
    </row>
    <row r="112" ht="15.75" customHeight="1">
      <c r="A112" s="2" t="s">
        <v>692</v>
      </c>
      <c r="B112" s="2" t="s">
        <v>693</v>
      </c>
      <c r="C112" s="2" t="s">
        <v>447</v>
      </c>
      <c r="D112" s="2" t="s">
        <v>20</v>
      </c>
      <c r="E112" s="2" t="s">
        <v>339</v>
      </c>
      <c r="F112" s="2" t="s">
        <v>694</v>
      </c>
      <c r="G112" s="2" t="s">
        <v>695</v>
      </c>
      <c r="H112" s="2" t="s">
        <v>696</v>
      </c>
      <c r="I112" s="2" t="s">
        <v>697</v>
      </c>
      <c r="J112" s="14" t="s">
        <v>698</v>
      </c>
      <c r="K112" s="2"/>
      <c r="L112" s="14" t="s">
        <v>699</v>
      </c>
      <c r="M112" s="2"/>
      <c r="N112" s="2"/>
      <c r="O112" s="2"/>
      <c r="P112" s="2"/>
      <c r="Q112" s="2"/>
      <c r="R112" s="2"/>
      <c r="S112" s="2"/>
      <c r="T112" s="2"/>
      <c r="U112" s="2"/>
      <c r="V112" s="2"/>
      <c r="W112" s="2"/>
      <c r="X112" s="2"/>
      <c r="Y112" s="2"/>
      <c r="Z112" s="2"/>
    </row>
    <row r="113" ht="15.75" customHeight="1">
      <c r="A113" s="2" t="s">
        <v>700</v>
      </c>
      <c r="B113" s="2" t="s">
        <v>701</v>
      </c>
      <c r="C113" s="2" t="s">
        <v>702</v>
      </c>
      <c r="D113" s="2" t="s">
        <v>703</v>
      </c>
      <c r="E113" s="2" t="s">
        <v>704</v>
      </c>
      <c r="F113" s="2" t="s">
        <v>705</v>
      </c>
      <c r="G113" s="2" t="s">
        <v>706</v>
      </c>
      <c r="H113" s="2" t="s">
        <v>696</v>
      </c>
      <c r="I113" s="2" t="s">
        <v>707</v>
      </c>
      <c r="J113" s="2"/>
      <c r="K113" s="2"/>
      <c r="L113" s="14" t="s">
        <v>708</v>
      </c>
      <c r="M113" s="2"/>
      <c r="N113" s="2"/>
      <c r="O113" s="2"/>
      <c r="P113" s="2"/>
      <c r="Q113" s="2"/>
      <c r="R113" s="2"/>
      <c r="S113" s="2"/>
      <c r="T113" s="2"/>
      <c r="U113" s="2"/>
      <c r="V113" s="2"/>
      <c r="W113" s="2"/>
      <c r="X113" s="2"/>
      <c r="Y113" s="2"/>
      <c r="Z113" s="2"/>
    </row>
    <row r="114" ht="15.75" customHeight="1">
      <c r="A114" s="2" t="s">
        <v>709</v>
      </c>
      <c r="B114" s="2" t="s">
        <v>710</v>
      </c>
      <c r="C114" s="31">
        <v>45946.0</v>
      </c>
      <c r="D114" s="2" t="s">
        <v>88</v>
      </c>
      <c r="E114" s="2" t="s">
        <v>711</v>
      </c>
      <c r="F114" s="2" t="s">
        <v>712</v>
      </c>
      <c r="G114" s="2" t="s">
        <v>713</v>
      </c>
      <c r="H114" s="2" t="s">
        <v>624</v>
      </c>
      <c r="I114" s="2" t="s">
        <v>714</v>
      </c>
      <c r="J114" s="2"/>
      <c r="K114" s="2"/>
      <c r="L114" s="14" t="s">
        <v>715</v>
      </c>
      <c r="M114" s="2"/>
      <c r="N114" s="2"/>
      <c r="O114" s="2"/>
      <c r="P114" s="2"/>
      <c r="Q114" s="2"/>
      <c r="R114" s="2"/>
      <c r="S114" s="2"/>
      <c r="T114" s="2"/>
      <c r="U114" s="2"/>
      <c r="V114" s="2"/>
      <c r="W114" s="2"/>
      <c r="X114" s="2"/>
      <c r="Y114" s="2"/>
      <c r="Z114" s="2"/>
    </row>
    <row r="115" ht="15.75" customHeight="1">
      <c r="A115" s="2" t="s">
        <v>709</v>
      </c>
      <c r="B115" s="2" t="s">
        <v>710</v>
      </c>
      <c r="C115" s="31">
        <v>45947.0</v>
      </c>
      <c r="D115" s="2" t="s">
        <v>298</v>
      </c>
      <c r="E115" s="2" t="s">
        <v>716</v>
      </c>
      <c r="F115" s="2" t="s">
        <v>712</v>
      </c>
      <c r="G115" s="2" t="s">
        <v>713</v>
      </c>
      <c r="H115" s="2" t="s">
        <v>624</v>
      </c>
      <c r="I115" s="2" t="s">
        <v>714</v>
      </c>
      <c r="J115" s="2"/>
      <c r="K115" s="2"/>
      <c r="L115" s="14" t="s">
        <v>717</v>
      </c>
      <c r="M115" s="2"/>
      <c r="N115" s="2"/>
      <c r="O115" s="2"/>
      <c r="P115" s="2"/>
      <c r="Q115" s="2"/>
      <c r="R115" s="2"/>
      <c r="S115" s="2"/>
      <c r="T115" s="2"/>
      <c r="U115" s="2"/>
      <c r="V115" s="2"/>
      <c r="W115" s="2"/>
      <c r="X115" s="2"/>
      <c r="Y115" s="2"/>
      <c r="Z115" s="2"/>
    </row>
    <row r="116" ht="15.75" customHeight="1">
      <c r="A116" s="3" t="s">
        <v>718</v>
      </c>
      <c r="B116" s="3" t="s">
        <v>719</v>
      </c>
      <c r="C116" s="3" t="s">
        <v>720</v>
      </c>
      <c r="D116" s="3" t="s">
        <v>721</v>
      </c>
      <c r="E116" s="3" t="s">
        <v>722</v>
      </c>
      <c r="F116" s="3" t="s">
        <v>723</v>
      </c>
      <c r="G116" s="3" t="s">
        <v>724</v>
      </c>
      <c r="H116" s="3" t="s">
        <v>725</v>
      </c>
      <c r="I116" s="9" t="s">
        <v>726</v>
      </c>
      <c r="J116" s="2"/>
      <c r="K116" s="2"/>
      <c r="L116" s="9" t="s">
        <v>727</v>
      </c>
      <c r="M116" s="2"/>
      <c r="N116" s="2"/>
      <c r="O116" s="2"/>
      <c r="P116" s="2"/>
      <c r="Q116" s="2"/>
      <c r="R116" s="2"/>
      <c r="S116" s="2"/>
      <c r="T116" s="2"/>
      <c r="U116" s="2"/>
      <c r="V116" s="2"/>
      <c r="W116" s="2"/>
      <c r="X116" s="2"/>
      <c r="Y116" s="2"/>
      <c r="Z116" s="2"/>
    </row>
    <row r="117" ht="15.75" customHeight="1">
      <c r="A117" s="3" t="s">
        <v>728</v>
      </c>
      <c r="B117" s="3" t="s">
        <v>729</v>
      </c>
      <c r="C117" s="3" t="s">
        <v>530</v>
      </c>
      <c r="D117" s="3" t="s">
        <v>119</v>
      </c>
      <c r="E117" s="3" t="s">
        <v>730</v>
      </c>
      <c r="F117" s="9" t="s">
        <v>723</v>
      </c>
      <c r="G117" s="2"/>
      <c r="H117" s="3" t="s">
        <v>725</v>
      </c>
      <c r="I117" s="9" t="s">
        <v>726</v>
      </c>
      <c r="J117" s="2"/>
      <c r="K117" s="2"/>
      <c r="L117" s="2"/>
      <c r="M117" s="2"/>
      <c r="N117" s="2"/>
      <c r="O117" s="2"/>
      <c r="P117" s="2"/>
      <c r="Q117" s="2"/>
      <c r="R117" s="2"/>
      <c r="S117" s="2"/>
      <c r="T117" s="2"/>
      <c r="U117" s="2"/>
      <c r="V117" s="2"/>
      <c r="W117" s="2"/>
      <c r="X117" s="2"/>
      <c r="Y117" s="2"/>
      <c r="Z117" s="2"/>
    </row>
    <row r="118" ht="15.75" customHeight="1">
      <c r="A118" s="3" t="s">
        <v>731</v>
      </c>
      <c r="B118" s="3" t="s">
        <v>729</v>
      </c>
      <c r="C118" s="3" t="s">
        <v>530</v>
      </c>
      <c r="D118" s="3" t="s">
        <v>119</v>
      </c>
      <c r="E118" s="32" t="s">
        <v>722</v>
      </c>
      <c r="F118" s="9" t="s">
        <v>723</v>
      </c>
      <c r="G118" s="2"/>
      <c r="H118" s="3" t="s">
        <v>725</v>
      </c>
      <c r="I118" s="9" t="s">
        <v>726</v>
      </c>
      <c r="J118" s="2"/>
      <c r="K118" s="2"/>
      <c r="L118" s="2"/>
      <c r="M118" s="2"/>
      <c r="N118" s="2"/>
      <c r="O118" s="2"/>
      <c r="P118" s="2"/>
      <c r="Q118" s="2"/>
      <c r="R118" s="2"/>
      <c r="S118" s="2"/>
      <c r="T118" s="2"/>
      <c r="U118" s="2"/>
      <c r="V118" s="2"/>
      <c r="W118" s="2"/>
      <c r="X118" s="2"/>
      <c r="Y118" s="2"/>
      <c r="Z118" s="2"/>
    </row>
    <row r="119" ht="15.75" customHeight="1">
      <c r="A119" s="3" t="s">
        <v>718</v>
      </c>
      <c r="B119" s="3" t="s">
        <v>719</v>
      </c>
      <c r="C119" s="3" t="s">
        <v>530</v>
      </c>
      <c r="D119" s="3" t="s">
        <v>298</v>
      </c>
      <c r="E119" s="32" t="s">
        <v>732</v>
      </c>
      <c r="F119" s="3" t="s">
        <v>723</v>
      </c>
      <c r="G119" s="3" t="s">
        <v>724</v>
      </c>
      <c r="H119" s="3" t="s">
        <v>725</v>
      </c>
      <c r="I119" s="9" t="s">
        <v>726</v>
      </c>
      <c r="J119" s="2"/>
      <c r="K119" s="2"/>
      <c r="L119" s="9" t="s">
        <v>727</v>
      </c>
      <c r="M119" s="2"/>
      <c r="N119" s="2"/>
      <c r="O119" s="2"/>
      <c r="P119" s="2"/>
      <c r="Q119" s="2"/>
      <c r="R119" s="2"/>
      <c r="S119" s="2"/>
      <c r="T119" s="2"/>
      <c r="U119" s="2"/>
      <c r="V119" s="2"/>
      <c r="W119" s="2"/>
      <c r="X119" s="2"/>
      <c r="Y119" s="2"/>
      <c r="Z119" s="2"/>
    </row>
    <row r="120" ht="15.75" customHeight="1">
      <c r="A120" s="3" t="s">
        <v>718</v>
      </c>
      <c r="B120" s="3" t="s">
        <v>719</v>
      </c>
      <c r="C120" s="3" t="s">
        <v>530</v>
      </c>
      <c r="D120" s="3" t="s">
        <v>119</v>
      </c>
      <c r="E120" s="3" t="s">
        <v>733</v>
      </c>
      <c r="F120" s="3" t="s">
        <v>723</v>
      </c>
      <c r="G120" s="3" t="s">
        <v>724</v>
      </c>
      <c r="H120" s="3" t="s">
        <v>725</v>
      </c>
      <c r="I120" s="9" t="s">
        <v>726</v>
      </c>
      <c r="J120" s="2"/>
      <c r="K120" s="2"/>
      <c r="L120" s="9" t="s">
        <v>727</v>
      </c>
      <c r="M120" s="2"/>
      <c r="N120" s="2"/>
      <c r="O120" s="2"/>
      <c r="P120" s="2"/>
      <c r="Q120" s="2"/>
      <c r="R120" s="2"/>
      <c r="S120" s="2"/>
      <c r="T120" s="2"/>
      <c r="U120" s="2"/>
      <c r="V120" s="2"/>
      <c r="W120" s="2"/>
      <c r="X120" s="2"/>
      <c r="Y120" s="2"/>
      <c r="Z120" s="2"/>
    </row>
    <row r="121" ht="15.75" customHeight="1">
      <c r="A121" s="3" t="s">
        <v>734</v>
      </c>
      <c r="B121" s="3" t="s">
        <v>729</v>
      </c>
      <c r="C121" s="3" t="s">
        <v>530</v>
      </c>
      <c r="D121" s="3" t="s">
        <v>735</v>
      </c>
      <c r="E121" s="3" t="s">
        <v>736</v>
      </c>
      <c r="F121" s="9" t="s">
        <v>737</v>
      </c>
      <c r="G121" s="2"/>
      <c r="H121" s="3" t="s">
        <v>738</v>
      </c>
      <c r="I121" s="3" t="s">
        <v>739</v>
      </c>
      <c r="J121" s="2"/>
      <c r="K121" s="2"/>
      <c r="L121" s="9" t="s">
        <v>740</v>
      </c>
      <c r="M121" s="2"/>
      <c r="N121" s="2"/>
      <c r="O121" s="2"/>
      <c r="P121" s="2"/>
      <c r="Q121" s="2"/>
      <c r="R121" s="2"/>
      <c r="S121" s="2"/>
      <c r="T121" s="2"/>
      <c r="U121" s="2"/>
      <c r="V121" s="2"/>
      <c r="W121" s="2"/>
      <c r="X121" s="2"/>
      <c r="Y121" s="2"/>
      <c r="Z121" s="2"/>
    </row>
    <row r="122" ht="15.75" customHeight="1">
      <c r="A122" s="3" t="s">
        <v>734</v>
      </c>
      <c r="B122" s="3" t="s">
        <v>729</v>
      </c>
      <c r="C122" s="3" t="s">
        <v>530</v>
      </c>
      <c r="D122" s="3" t="s">
        <v>741</v>
      </c>
      <c r="E122" s="32" t="s">
        <v>742</v>
      </c>
      <c r="F122" s="9" t="s">
        <v>737</v>
      </c>
      <c r="G122" s="2"/>
      <c r="H122" s="3" t="s">
        <v>738</v>
      </c>
      <c r="I122" s="3" t="s">
        <v>739</v>
      </c>
      <c r="J122" s="2"/>
      <c r="K122" s="2"/>
      <c r="L122" s="9" t="s">
        <v>740</v>
      </c>
      <c r="M122" s="2"/>
      <c r="N122" s="2"/>
      <c r="O122" s="2"/>
      <c r="P122" s="2"/>
      <c r="Q122" s="2"/>
      <c r="R122" s="2"/>
      <c r="S122" s="2"/>
      <c r="T122" s="2"/>
      <c r="U122" s="2"/>
      <c r="V122" s="2"/>
      <c r="W122" s="2"/>
      <c r="X122" s="2"/>
      <c r="Y122" s="2"/>
      <c r="Z122" s="2"/>
    </row>
    <row r="123" ht="15.75" customHeight="1">
      <c r="A123" s="3" t="s">
        <v>743</v>
      </c>
      <c r="B123" s="3" t="s">
        <v>729</v>
      </c>
      <c r="C123" s="3" t="s">
        <v>530</v>
      </c>
      <c r="D123" s="3" t="s">
        <v>741</v>
      </c>
      <c r="E123" s="3" t="s">
        <v>744</v>
      </c>
      <c r="F123" s="9" t="s">
        <v>737</v>
      </c>
      <c r="G123" s="2"/>
      <c r="H123" s="3" t="s">
        <v>738</v>
      </c>
      <c r="I123" s="3" t="s">
        <v>739</v>
      </c>
      <c r="J123" s="2"/>
      <c r="K123" s="2"/>
      <c r="L123" s="9" t="s">
        <v>745</v>
      </c>
      <c r="M123" s="2"/>
      <c r="N123" s="2"/>
      <c r="O123" s="2"/>
      <c r="P123" s="2"/>
      <c r="Q123" s="2"/>
      <c r="R123" s="2"/>
      <c r="S123" s="2"/>
      <c r="T123" s="2"/>
      <c r="U123" s="2"/>
      <c r="V123" s="2"/>
      <c r="W123" s="2"/>
      <c r="X123" s="2"/>
      <c r="Y123" s="2"/>
      <c r="Z123" s="2"/>
    </row>
    <row r="124" ht="15.75" customHeight="1">
      <c r="A124" s="3" t="s">
        <v>746</v>
      </c>
      <c r="B124" s="3" t="s">
        <v>747</v>
      </c>
      <c r="C124" s="3" t="s">
        <v>530</v>
      </c>
      <c r="D124" s="3" t="s">
        <v>748</v>
      </c>
      <c r="E124" s="3" t="s">
        <v>749</v>
      </c>
      <c r="F124" s="9" t="s">
        <v>750</v>
      </c>
      <c r="G124" s="2"/>
      <c r="H124" s="3" t="s">
        <v>751</v>
      </c>
      <c r="I124" s="9" t="s">
        <v>752</v>
      </c>
      <c r="J124" s="2"/>
      <c r="K124" s="2"/>
      <c r="L124" s="2"/>
      <c r="M124" s="2"/>
      <c r="N124" s="2"/>
      <c r="O124" s="2"/>
      <c r="P124" s="2"/>
      <c r="Q124" s="2"/>
      <c r="R124" s="2"/>
      <c r="S124" s="2"/>
      <c r="T124" s="2"/>
      <c r="U124" s="2"/>
      <c r="V124" s="2"/>
      <c r="W124" s="2"/>
      <c r="X124" s="2"/>
      <c r="Y124" s="2"/>
      <c r="Z124" s="2"/>
    </row>
    <row r="125" ht="15.75" customHeight="1">
      <c r="A125" s="3" t="s">
        <v>753</v>
      </c>
      <c r="B125" s="3" t="s">
        <v>754</v>
      </c>
      <c r="C125" s="3" t="s">
        <v>755</v>
      </c>
      <c r="D125" s="3" t="s">
        <v>756</v>
      </c>
      <c r="E125" s="3" t="s">
        <v>732</v>
      </c>
      <c r="F125" s="3" t="s">
        <v>757</v>
      </c>
      <c r="G125" s="3" t="s">
        <v>758</v>
      </c>
      <c r="H125" s="3" t="s">
        <v>759</v>
      </c>
      <c r="I125" s="9" t="s">
        <v>760</v>
      </c>
      <c r="J125" s="2"/>
      <c r="K125" s="2"/>
      <c r="L125" s="2"/>
      <c r="M125" s="2"/>
      <c r="N125" s="2"/>
      <c r="O125" s="2"/>
      <c r="P125" s="2"/>
      <c r="Q125" s="2"/>
      <c r="R125" s="2"/>
      <c r="S125" s="2"/>
      <c r="T125" s="2"/>
      <c r="U125" s="2"/>
      <c r="V125" s="2"/>
      <c r="W125" s="2"/>
      <c r="X125" s="2"/>
      <c r="Y125" s="2"/>
      <c r="Z125" s="2"/>
    </row>
    <row r="126" ht="15.75" customHeight="1">
      <c r="A126" s="3" t="s">
        <v>761</v>
      </c>
      <c r="B126" s="3" t="s">
        <v>762</v>
      </c>
      <c r="C126" s="3" t="s">
        <v>530</v>
      </c>
      <c r="D126" s="3" t="s">
        <v>763</v>
      </c>
      <c r="E126" s="5">
        <v>0.7083333333333334</v>
      </c>
      <c r="F126" s="3" t="s">
        <v>764</v>
      </c>
      <c r="G126" s="3" t="s">
        <v>765</v>
      </c>
      <c r="H126" s="3" t="s">
        <v>766</v>
      </c>
      <c r="I126" s="3" t="s">
        <v>767</v>
      </c>
      <c r="J126" s="2"/>
      <c r="K126" s="2"/>
      <c r="L126" s="9" t="s">
        <v>768</v>
      </c>
      <c r="M126" s="2"/>
      <c r="N126" s="2"/>
      <c r="O126" s="2"/>
      <c r="P126" s="2"/>
      <c r="Q126" s="2"/>
      <c r="R126" s="2"/>
      <c r="S126" s="2"/>
      <c r="T126" s="2"/>
      <c r="U126" s="2"/>
      <c r="V126" s="2"/>
      <c r="W126" s="2"/>
      <c r="X126" s="2"/>
      <c r="Y126" s="2"/>
      <c r="Z126" s="2"/>
    </row>
    <row r="127" ht="15.75" customHeight="1">
      <c r="A127" s="3" t="s">
        <v>761</v>
      </c>
      <c r="B127" s="3" t="s">
        <v>762</v>
      </c>
      <c r="C127" s="3" t="s">
        <v>530</v>
      </c>
      <c r="D127" s="3" t="s">
        <v>748</v>
      </c>
      <c r="E127" s="5">
        <v>0.7083333333333334</v>
      </c>
      <c r="F127" s="3" t="s">
        <v>764</v>
      </c>
      <c r="G127" s="3" t="s">
        <v>765</v>
      </c>
      <c r="H127" s="3" t="s">
        <v>769</v>
      </c>
      <c r="I127" s="3" t="s">
        <v>770</v>
      </c>
      <c r="J127" s="2"/>
      <c r="K127" s="2"/>
      <c r="L127" s="9" t="s">
        <v>771</v>
      </c>
      <c r="M127" s="2"/>
      <c r="N127" s="2"/>
      <c r="O127" s="2"/>
      <c r="P127" s="2"/>
      <c r="Q127" s="2"/>
      <c r="R127" s="2"/>
      <c r="S127" s="2"/>
      <c r="T127" s="2"/>
      <c r="U127" s="2"/>
      <c r="V127" s="2"/>
      <c r="W127" s="2"/>
      <c r="X127" s="2"/>
      <c r="Y127" s="2"/>
      <c r="Z127" s="2"/>
    </row>
    <row r="128" ht="15.75" customHeight="1">
      <c r="A128" s="3" t="s">
        <v>772</v>
      </c>
      <c r="B128" s="3" t="s">
        <v>773</v>
      </c>
      <c r="C128" s="3" t="s">
        <v>530</v>
      </c>
      <c r="D128" s="3" t="s">
        <v>774</v>
      </c>
      <c r="E128" s="3" t="s">
        <v>775</v>
      </c>
      <c r="F128" s="3" t="s">
        <v>776</v>
      </c>
      <c r="G128" s="3" t="s">
        <v>777</v>
      </c>
      <c r="H128" s="3" t="s">
        <v>778</v>
      </c>
      <c r="I128" s="9" t="s">
        <v>779</v>
      </c>
      <c r="J128" s="2"/>
      <c r="K128" s="2"/>
      <c r="L128" s="9" t="s">
        <v>780</v>
      </c>
      <c r="M128" s="2"/>
      <c r="N128" s="2"/>
      <c r="O128" s="2"/>
      <c r="P128" s="2"/>
      <c r="Q128" s="2"/>
      <c r="R128" s="2"/>
      <c r="S128" s="2"/>
      <c r="T128" s="2"/>
      <c r="U128" s="2"/>
      <c r="V128" s="2"/>
      <c r="W128" s="2"/>
      <c r="X128" s="2"/>
      <c r="Y128" s="2"/>
      <c r="Z128" s="2"/>
    </row>
    <row r="129" ht="15.75" customHeight="1">
      <c r="A129" s="3" t="s">
        <v>781</v>
      </c>
      <c r="B129" s="3" t="s">
        <v>375</v>
      </c>
      <c r="C129" s="3" t="s">
        <v>720</v>
      </c>
      <c r="D129" s="3" t="s">
        <v>782</v>
      </c>
      <c r="E129" s="3" t="s">
        <v>783</v>
      </c>
      <c r="F129" s="3" t="s">
        <v>784</v>
      </c>
      <c r="G129" s="3" t="s">
        <v>785</v>
      </c>
      <c r="H129" s="3" t="s">
        <v>786</v>
      </c>
      <c r="I129" s="9" t="s">
        <v>787</v>
      </c>
      <c r="J129" s="2"/>
      <c r="K129" s="2"/>
      <c r="L129" s="2"/>
      <c r="M129" s="2"/>
      <c r="N129" s="2"/>
      <c r="O129" s="2"/>
      <c r="P129" s="2"/>
      <c r="Q129" s="2"/>
      <c r="R129" s="2"/>
      <c r="S129" s="2"/>
      <c r="T129" s="2"/>
      <c r="U129" s="2"/>
      <c r="V129" s="2"/>
      <c r="W129" s="2"/>
      <c r="X129" s="2"/>
      <c r="Y129" s="2"/>
      <c r="Z129" s="2"/>
    </row>
    <row r="130" ht="15.75" customHeight="1">
      <c r="A130" s="3" t="s">
        <v>788</v>
      </c>
      <c r="B130" s="3" t="s">
        <v>789</v>
      </c>
      <c r="C130" s="3" t="s">
        <v>386</v>
      </c>
      <c r="D130" s="3" t="s">
        <v>119</v>
      </c>
      <c r="E130" s="5">
        <v>0.4791666666666667</v>
      </c>
      <c r="F130" s="3" t="s">
        <v>790</v>
      </c>
      <c r="G130" s="3" t="s">
        <v>791</v>
      </c>
      <c r="H130" s="3" t="s">
        <v>404</v>
      </c>
      <c r="I130" s="2"/>
      <c r="J130" s="3" t="s">
        <v>792</v>
      </c>
      <c r="K130" s="3" t="s">
        <v>209</v>
      </c>
      <c r="L130" s="2"/>
      <c r="M130" s="2"/>
      <c r="N130" s="2"/>
      <c r="O130" s="2"/>
      <c r="P130" s="2"/>
      <c r="Q130" s="2"/>
      <c r="R130" s="2"/>
      <c r="S130" s="2"/>
      <c r="T130" s="2"/>
      <c r="U130" s="2"/>
      <c r="V130" s="2"/>
      <c r="W130" s="2"/>
      <c r="X130" s="2"/>
      <c r="Y130" s="2"/>
      <c r="Z130" s="2"/>
    </row>
    <row r="131" ht="15.75" customHeight="1">
      <c r="A131" s="3" t="s">
        <v>793</v>
      </c>
      <c r="B131" s="3" t="s">
        <v>794</v>
      </c>
      <c r="C131" s="3" t="s">
        <v>720</v>
      </c>
      <c r="D131" s="33" t="s">
        <v>795</v>
      </c>
      <c r="E131" s="3" t="s">
        <v>796</v>
      </c>
      <c r="F131" s="3" t="s">
        <v>797</v>
      </c>
      <c r="G131" s="3" t="s">
        <v>798</v>
      </c>
      <c r="H131" s="3" t="s">
        <v>799</v>
      </c>
      <c r="I131" s="3" t="s">
        <v>800</v>
      </c>
      <c r="J131" s="9" t="s">
        <v>801</v>
      </c>
      <c r="K131" s="2"/>
      <c r="L131" s="9" t="s">
        <v>802</v>
      </c>
      <c r="M131" s="2"/>
      <c r="N131" s="2"/>
      <c r="O131" s="2"/>
      <c r="P131" s="2"/>
      <c r="Q131" s="2"/>
      <c r="R131" s="2"/>
      <c r="S131" s="2"/>
      <c r="T131" s="2"/>
      <c r="U131" s="2"/>
      <c r="V131" s="2"/>
      <c r="W131" s="2"/>
      <c r="X131" s="2"/>
      <c r="Y131" s="2"/>
      <c r="Z131" s="2"/>
    </row>
    <row r="132" ht="15.75" customHeight="1">
      <c r="A132" s="3" t="s">
        <v>803</v>
      </c>
      <c r="B132" s="3" t="s">
        <v>794</v>
      </c>
      <c r="C132" s="3" t="s">
        <v>720</v>
      </c>
      <c r="D132" s="33" t="s">
        <v>795</v>
      </c>
      <c r="E132" s="3" t="s">
        <v>783</v>
      </c>
      <c r="F132" s="3" t="s">
        <v>797</v>
      </c>
      <c r="G132" s="3" t="s">
        <v>804</v>
      </c>
      <c r="H132" s="3" t="s">
        <v>799</v>
      </c>
      <c r="I132" s="3" t="s">
        <v>800</v>
      </c>
      <c r="J132" s="9" t="s">
        <v>801</v>
      </c>
      <c r="K132" s="2"/>
      <c r="L132" s="9" t="s">
        <v>802</v>
      </c>
      <c r="M132" s="2"/>
      <c r="N132" s="2"/>
      <c r="O132" s="2"/>
      <c r="P132" s="2"/>
      <c r="Q132" s="2"/>
      <c r="R132" s="2"/>
      <c r="S132" s="2"/>
      <c r="T132" s="2"/>
      <c r="U132" s="2"/>
      <c r="V132" s="2"/>
      <c r="W132" s="2"/>
      <c r="X132" s="2"/>
      <c r="Y132" s="2"/>
      <c r="Z132" s="2"/>
    </row>
    <row r="133" ht="15.75" customHeight="1">
      <c r="A133" s="3" t="s">
        <v>805</v>
      </c>
      <c r="B133" s="3" t="s">
        <v>806</v>
      </c>
      <c r="C133" s="3" t="s">
        <v>386</v>
      </c>
      <c r="D133" s="3" t="s">
        <v>119</v>
      </c>
      <c r="E133" s="3" t="s">
        <v>807</v>
      </c>
      <c r="F133" s="3" t="s">
        <v>797</v>
      </c>
      <c r="G133" s="3" t="s">
        <v>808</v>
      </c>
      <c r="H133" s="3" t="s">
        <v>799</v>
      </c>
      <c r="I133" s="3" t="s">
        <v>800</v>
      </c>
      <c r="J133" s="9" t="s">
        <v>801</v>
      </c>
      <c r="K133" s="2"/>
      <c r="L133" s="9" t="s">
        <v>802</v>
      </c>
      <c r="M133" s="2"/>
      <c r="N133" s="2"/>
      <c r="O133" s="2"/>
      <c r="P133" s="2"/>
      <c r="Q133" s="2"/>
      <c r="R133" s="2"/>
      <c r="S133" s="2"/>
      <c r="T133" s="2"/>
      <c r="U133" s="2"/>
      <c r="V133" s="2"/>
      <c r="W133" s="2"/>
      <c r="X133" s="2"/>
      <c r="Y133" s="2"/>
      <c r="Z133" s="2"/>
    </row>
    <row r="134" ht="15.75" customHeight="1">
      <c r="A134" s="3" t="s">
        <v>809</v>
      </c>
      <c r="B134" s="3" t="s">
        <v>789</v>
      </c>
      <c r="C134" s="3" t="s">
        <v>720</v>
      </c>
      <c r="D134" s="33" t="s">
        <v>795</v>
      </c>
      <c r="E134" s="3" t="s">
        <v>810</v>
      </c>
      <c r="F134" s="3" t="s">
        <v>811</v>
      </c>
      <c r="G134" s="3" t="s">
        <v>812</v>
      </c>
      <c r="H134" s="3" t="s">
        <v>799</v>
      </c>
      <c r="I134" s="3" t="s">
        <v>800</v>
      </c>
      <c r="J134" s="9" t="s">
        <v>801</v>
      </c>
      <c r="K134" s="2"/>
      <c r="L134" s="9" t="s">
        <v>802</v>
      </c>
      <c r="M134" s="2"/>
      <c r="N134" s="2"/>
      <c r="O134" s="2"/>
      <c r="P134" s="2"/>
      <c r="Q134" s="2"/>
      <c r="R134" s="2"/>
      <c r="S134" s="2"/>
      <c r="T134" s="2"/>
      <c r="U134" s="2"/>
      <c r="V134" s="2"/>
      <c r="W134" s="2"/>
      <c r="X134" s="2"/>
      <c r="Y134" s="2"/>
      <c r="Z134" s="2"/>
    </row>
    <row r="135" ht="15.75" customHeight="1">
      <c r="A135" s="3" t="s">
        <v>813</v>
      </c>
      <c r="B135" s="3" t="s">
        <v>789</v>
      </c>
      <c r="C135" s="3" t="s">
        <v>720</v>
      </c>
      <c r="D135" s="33" t="s">
        <v>795</v>
      </c>
      <c r="E135" s="3" t="s">
        <v>783</v>
      </c>
      <c r="F135" s="3" t="s">
        <v>814</v>
      </c>
      <c r="G135" s="3" t="s">
        <v>815</v>
      </c>
      <c r="H135" s="3" t="s">
        <v>799</v>
      </c>
      <c r="I135" s="3" t="s">
        <v>800</v>
      </c>
      <c r="J135" s="9" t="s">
        <v>801</v>
      </c>
      <c r="K135" s="2"/>
      <c r="L135" s="9" t="s">
        <v>802</v>
      </c>
      <c r="M135" s="2"/>
      <c r="N135" s="2"/>
      <c r="O135" s="2"/>
      <c r="P135" s="2"/>
      <c r="Q135" s="2"/>
      <c r="R135" s="2"/>
      <c r="S135" s="2"/>
      <c r="T135" s="2"/>
      <c r="U135" s="2"/>
      <c r="V135" s="2"/>
      <c r="W135" s="2"/>
      <c r="X135" s="2"/>
      <c r="Y135" s="2"/>
      <c r="Z135" s="2"/>
    </row>
    <row r="136" ht="15.75" customHeight="1">
      <c r="A136" s="3" t="s">
        <v>816</v>
      </c>
      <c r="B136" s="3" t="s">
        <v>789</v>
      </c>
      <c r="C136" s="3" t="s">
        <v>720</v>
      </c>
      <c r="D136" s="3" t="s">
        <v>782</v>
      </c>
      <c r="E136" s="3" t="s">
        <v>817</v>
      </c>
      <c r="F136" s="3" t="s">
        <v>818</v>
      </c>
      <c r="G136" s="3" t="s">
        <v>819</v>
      </c>
      <c r="H136" s="3" t="s">
        <v>799</v>
      </c>
      <c r="I136" s="3" t="s">
        <v>820</v>
      </c>
      <c r="J136" s="9" t="s">
        <v>821</v>
      </c>
      <c r="K136" s="2"/>
      <c r="L136" s="3" t="s">
        <v>822</v>
      </c>
      <c r="M136" s="6" t="s">
        <v>823</v>
      </c>
      <c r="N136" s="2"/>
      <c r="O136" s="2"/>
      <c r="P136" s="2"/>
      <c r="Q136" s="2"/>
      <c r="R136" s="2"/>
      <c r="S136" s="2"/>
      <c r="T136" s="2"/>
      <c r="U136" s="2"/>
      <c r="V136" s="2"/>
      <c r="W136" s="2"/>
      <c r="X136" s="2"/>
      <c r="Y136" s="2"/>
      <c r="Z136" s="2"/>
    </row>
    <row r="137" ht="15.75" customHeight="1">
      <c r="A137" s="3" t="s">
        <v>824</v>
      </c>
      <c r="B137" s="3" t="s">
        <v>789</v>
      </c>
      <c r="C137" s="3" t="s">
        <v>386</v>
      </c>
      <c r="D137" s="3" t="s">
        <v>119</v>
      </c>
      <c r="E137" s="3" t="s">
        <v>825</v>
      </c>
      <c r="F137" s="9" t="s">
        <v>818</v>
      </c>
      <c r="G137" s="2"/>
      <c r="H137" s="3" t="s">
        <v>799</v>
      </c>
      <c r="I137" s="3" t="s">
        <v>820</v>
      </c>
      <c r="J137" s="9" t="s">
        <v>821</v>
      </c>
      <c r="K137" s="2"/>
      <c r="L137" s="3" t="s">
        <v>822</v>
      </c>
      <c r="M137" s="6" t="s">
        <v>823</v>
      </c>
      <c r="N137" s="2"/>
      <c r="O137" s="2"/>
      <c r="P137" s="2"/>
      <c r="Q137" s="2"/>
      <c r="R137" s="2"/>
      <c r="S137" s="2"/>
      <c r="T137" s="2"/>
      <c r="U137" s="2"/>
      <c r="V137" s="2"/>
      <c r="W137" s="2"/>
      <c r="X137" s="2"/>
      <c r="Y137" s="2"/>
      <c r="Z137" s="2"/>
    </row>
    <row r="138" ht="15.75" customHeight="1">
      <c r="A138" s="3" t="s">
        <v>826</v>
      </c>
      <c r="B138" s="3" t="s">
        <v>375</v>
      </c>
      <c r="C138" s="3" t="s">
        <v>720</v>
      </c>
      <c r="D138" s="33" t="s">
        <v>602</v>
      </c>
      <c r="E138" s="3" t="s">
        <v>827</v>
      </c>
      <c r="F138" s="3" t="s">
        <v>818</v>
      </c>
      <c r="G138" s="3" t="s">
        <v>828</v>
      </c>
      <c r="H138" s="3" t="s">
        <v>799</v>
      </c>
      <c r="I138" s="3" t="s">
        <v>820</v>
      </c>
      <c r="J138" s="9" t="s">
        <v>821</v>
      </c>
      <c r="K138" s="2"/>
      <c r="L138" s="3" t="s">
        <v>822</v>
      </c>
      <c r="M138" s="6" t="s">
        <v>823</v>
      </c>
      <c r="N138" s="2"/>
      <c r="O138" s="2"/>
      <c r="P138" s="2"/>
      <c r="Q138" s="2"/>
      <c r="R138" s="2"/>
      <c r="S138" s="2"/>
      <c r="T138" s="2"/>
      <c r="U138" s="2"/>
      <c r="V138" s="2"/>
      <c r="W138" s="2"/>
      <c r="X138" s="2"/>
      <c r="Y138" s="2"/>
      <c r="Z138" s="2"/>
    </row>
    <row r="139" ht="15.75" customHeight="1">
      <c r="A139" s="3" t="s">
        <v>829</v>
      </c>
      <c r="B139" s="3" t="s">
        <v>375</v>
      </c>
      <c r="C139" s="3" t="s">
        <v>720</v>
      </c>
      <c r="D139" s="33" t="s">
        <v>602</v>
      </c>
      <c r="E139" s="34" t="s">
        <v>827</v>
      </c>
      <c r="F139" s="3" t="s">
        <v>818</v>
      </c>
      <c r="G139" s="3" t="s">
        <v>830</v>
      </c>
      <c r="H139" s="3" t="s">
        <v>799</v>
      </c>
      <c r="I139" s="3" t="s">
        <v>820</v>
      </c>
      <c r="J139" s="9" t="s">
        <v>821</v>
      </c>
      <c r="K139" s="2"/>
      <c r="L139" s="3" t="s">
        <v>822</v>
      </c>
      <c r="M139" s="6" t="s">
        <v>823</v>
      </c>
      <c r="N139" s="2"/>
      <c r="O139" s="2"/>
      <c r="P139" s="2"/>
      <c r="Q139" s="2"/>
      <c r="R139" s="2"/>
      <c r="S139" s="2"/>
      <c r="T139" s="2"/>
      <c r="U139" s="2"/>
      <c r="V139" s="2"/>
      <c r="W139" s="2"/>
      <c r="X139" s="2"/>
      <c r="Y139" s="2"/>
      <c r="Z139" s="2"/>
    </row>
    <row r="140" ht="15.75" customHeight="1">
      <c r="A140" s="3" t="s">
        <v>831</v>
      </c>
      <c r="B140" s="3" t="s">
        <v>375</v>
      </c>
      <c r="C140" s="3" t="s">
        <v>720</v>
      </c>
      <c r="D140" s="33" t="s">
        <v>602</v>
      </c>
      <c r="E140" s="34" t="s">
        <v>827</v>
      </c>
      <c r="F140" s="3" t="s">
        <v>818</v>
      </c>
      <c r="G140" s="3" t="s">
        <v>832</v>
      </c>
      <c r="H140" s="3" t="s">
        <v>799</v>
      </c>
      <c r="I140" s="3" t="s">
        <v>820</v>
      </c>
      <c r="J140" s="9" t="s">
        <v>821</v>
      </c>
      <c r="K140" s="2"/>
      <c r="L140" s="3" t="s">
        <v>822</v>
      </c>
      <c r="M140" s="6" t="s">
        <v>823</v>
      </c>
      <c r="N140" s="2"/>
      <c r="O140" s="2"/>
      <c r="P140" s="2"/>
      <c r="Q140" s="2"/>
      <c r="R140" s="2"/>
      <c r="S140" s="2"/>
      <c r="T140" s="2"/>
      <c r="U140" s="2"/>
      <c r="V140" s="2"/>
      <c r="W140" s="2"/>
      <c r="X140" s="2"/>
      <c r="Y140" s="2"/>
      <c r="Z140" s="2"/>
    </row>
    <row r="141" ht="15.75" customHeight="1">
      <c r="A141" s="3" t="s">
        <v>833</v>
      </c>
      <c r="B141" s="3" t="s">
        <v>375</v>
      </c>
      <c r="C141" s="3" t="s">
        <v>720</v>
      </c>
      <c r="D141" s="33" t="s">
        <v>602</v>
      </c>
      <c r="E141" s="34" t="s">
        <v>827</v>
      </c>
      <c r="F141" s="3" t="s">
        <v>818</v>
      </c>
      <c r="G141" s="3" t="s">
        <v>834</v>
      </c>
      <c r="H141" s="3" t="s">
        <v>799</v>
      </c>
      <c r="I141" s="3" t="s">
        <v>820</v>
      </c>
      <c r="J141" s="9" t="s">
        <v>821</v>
      </c>
      <c r="K141" s="2"/>
      <c r="L141" s="3" t="s">
        <v>822</v>
      </c>
      <c r="M141" s="6" t="s">
        <v>823</v>
      </c>
      <c r="N141" s="2"/>
      <c r="O141" s="2"/>
      <c r="P141" s="2"/>
      <c r="Q141" s="2"/>
      <c r="R141" s="2"/>
      <c r="S141" s="2"/>
      <c r="T141" s="2"/>
      <c r="U141" s="2"/>
      <c r="V141" s="2"/>
      <c r="W141" s="2"/>
      <c r="X141" s="2"/>
      <c r="Y141" s="2"/>
      <c r="Z141" s="2"/>
    </row>
    <row r="142" ht="15.75" customHeight="1">
      <c r="A142" s="3" t="s">
        <v>835</v>
      </c>
      <c r="B142" s="3" t="s">
        <v>375</v>
      </c>
      <c r="C142" s="3" t="s">
        <v>720</v>
      </c>
      <c r="D142" s="33" t="s">
        <v>602</v>
      </c>
      <c r="E142" s="3" t="s">
        <v>836</v>
      </c>
      <c r="F142" s="3" t="s">
        <v>818</v>
      </c>
      <c r="G142" s="3" t="s">
        <v>837</v>
      </c>
      <c r="H142" s="3" t="s">
        <v>799</v>
      </c>
      <c r="I142" s="3" t="s">
        <v>820</v>
      </c>
      <c r="J142" s="9" t="s">
        <v>821</v>
      </c>
      <c r="K142" s="2"/>
      <c r="L142" s="3" t="s">
        <v>838</v>
      </c>
      <c r="M142" s="6" t="s">
        <v>823</v>
      </c>
      <c r="N142" s="2"/>
      <c r="O142" s="2"/>
      <c r="P142" s="2"/>
      <c r="Q142" s="2"/>
      <c r="R142" s="2"/>
      <c r="S142" s="2"/>
      <c r="T142" s="2"/>
      <c r="U142" s="2"/>
      <c r="V142" s="2"/>
      <c r="W142" s="2"/>
      <c r="X142" s="2"/>
      <c r="Y142" s="2"/>
      <c r="Z142" s="2"/>
    </row>
    <row r="143" ht="15.75" customHeight="1">
      <c r="A143" s="3" t="s">
        <v>839</v>
      </c>
      <c r="B143" s="3" t="s">
        <v>375</v>
      </c>
      <c r="C143" s="3" t="s">
        <v>720</v>
      </c>
      <c r="D143" s="33" t="s">
        <v>602</v>
      </c>
      <c r="E143" s="3" t="s">
        <v>836</v>
      </c>
      <c r="F143" s="3" t="s">
        <v>818</v>
      </c>
      <c r="G143" s="3" t="s">
        <v>840</v>
      </c>
      <c r="H143" s="3" t="s">
        <v>799</v>
      </c>
      <c r="I143" s="3" t="s">
        <v>820</v>
      </c>
      <c r="J143" s="9" t="s">
        <v>821</v>
      </c>
      <c r="K143" s="2"/>
      <c r="L143" s="3" t="s">
        <v>838</v>
      </c>
      <c r="M143" s="6" t="s">
        <v>823</v>
      </c>
      <c r="N143" s="2"/>
      <c r="O143" s="2"/>
      <c r="P143" s="2"/>
      <c r="Q143" s="2"/>
      <c r="R143" s="2"/>
      <c r="S143" s="2"/>
      <c r="T143" s="2"/>
      <c r="U143" s="2"/>
      <c r="V143" s="2"/>
      <c r="W143" s="2"/>
      <c r="X143" s="2"/>
      <c r="Y143" s="2"/>
      <c r="Z143" s="2"/>
    </row>
    <row r="144" ht="15.75" customHeight="1">
      <c r="A144" s="3" t="s">
        <v>841</v>
      </c>
      <c r="B144" s="3" t="s">
        <v>375</v>
      </c>
      <c r="C144" s="3" t="s">
        <v>720</v>
      </c>
      <c r="D144" s="33" t="s">
        <v>602</v>
      </c>
      <c r="E144" s="3" t="s">
        <v>836</v>
      </c>
      <c r="F144" s="3" t="s">
        <v>818</v>
      </c>
      <c r="G144" s="3" t="s">
        <v>842</v>
      </c>
      <c r="H144" s="3" t="s">
        <v>799</v>
      </c>
      <c r="I144" s="3" t="s">
        <v>820</v>
      </c>
      <c r="J144" s="9" t="s">
        <v>821</v>
      </c>
      <c r="K144" s="2"/>
      <c r="L144" s="3" t="s">
        <v>838</v>
      </c>
      <c r="M144" s="6" t="s">
        <v>823</v>
      </c>
      <c r="N144" s="2"/>
      <c r="O144" s="2"/>
      <c r="P144" s="2"/>
      <c r="Q144" s="2"/>
      <c r="R144" s="2"/>
      <c r="S144" s="2"/>
      <c r="T144" s="2"/>
      <c r="U144" s="2"/>
      <c r="V144" s="2"/>
      <c r="W144" s="2"/>
      <c r="X144" s="2"/>
      <c r="Y144" s="2"/>
      <c r="Z144" s="2"/>
    </row>
    <row r="145" ht="15.75" customHeight="1">
      <c r="A145" s="3" t="s">
        <v>843</v>
      </c>
      <c r="B145" s="3" t="s">
        <v>375</v>
      </c>
      <c r="C145" s="3" t="s">
        <v>720</v>
      </c>
      <c r="D145" s="33" t="s">
        <v>602</v>
      </c>
      <c r="E145" s="32" t="s">
        <v>844</v>
      </c>
      <c r="F145" s="3" t="s">
        <v>818</v>
      </c>
      <c r="G145" s="3" t="s">
        <v>845</v>
      </c>
      <c r="H145" s="3" t="s">
        <v>799</v>
      </c>
      <c r="I145" s="3" t="s">
        <v>820</v>
      </c>
      <c r="J145" s="9" t="s">
        <v>821</v>
      </c>
      <c r="K145" s="2"/>
      <c r="L145" s="3" t="s">
        <v>838</v>
      </c>
      <c r="M145" s="6" t="s">
        <v>823</v>
      </c>
      <c r="N145" s="2"/>
      <c r="O145" s="2"/>
      <c r="P145" s="2"/>
      <c r="Q145" s="2"/>
      <c r="R145" s="2"/>
      <c r="S145" s="2"/>
      <c r="T145" s="2"/>
      <c r="U145" s="2"/>
      <c r="V145" s="2"/>
      <c r="W145" s="2"/>
      <c r="X145" s="2"/>
      <c r="Y145" s="2"/>
      <c r="Z145" s="2"/>
    </row>
    <row r="146" ht="15.75" customHeight="1">
      <c r="A146" s="3" t="s">
        <v>846</v>
      </c>
      <c r="B146" s="3" t="s">
        <v>375</v>
      </c>
      <c r="C146" s="3" t="s">
        <v>720</v>
      </c>
      <c r="D146" s="33" t="s">
        <v>602</v>
      </c>
      <c r="E146" s="3" t="s">
        <v>844</v>
      </c>
      <c r="F146" s="3" t="s">
        <v>818</v>
      </c>
      <c r="G146" s="3" t="s">
        <v>847</v>
      </c>
      <c r="H146" s="3" t="s">
        <v>799</v>
      </c>
      <c r="I146" s="3" t="s">
        <v>820</v>
      </c>
      <c r="J146" s="9" t="s">
        <v>821</v>
      </c>
      <c r="K146" s="2"/>
      <c r="L146" s="3" t="s">
        <v>838</v>
      </c>
      <c r="M146" s="6" t="s">
        <v>823</v>
      </c>
      <c r="N146" s="2"/>
      <c r="O146" s="2"/>
      <c r="P146" s="2"/>
      <c r="Q146" s="2"/>
      <c r="R146" s="2"/>
      <c r="S146" s="2"/>
      <c r="T146" s="2"/>
      <c r="U146" s="2"/>
      <c r="V146" s="2"/>
      <c r="W146" s="2"/>
      <c r="X146" s="2"/>
      <c r="Y146" s="2"/>
      <c r="Z146" s="2"/>
    </row>
    <row r="147" ht="15.75" customHeight="1">
      <c r="A147" s="3" t="s">
        <v>848</v>
      </c>
      <c r="B147" s="3" t="s">
        <v>849</v>
      </c>
      <c r="C147" s="3" t="s">
        <v>386</v>
      </c>
      <c r="D147" s="3" t="s">
        <v>119</v>
      </c>
      <c r="E147" s="35">
        <v>0.4166666666666667</v>
      </c>
      <c r="F147" s="3" t="s">
        <v>850</v>
      </c>
      <c r="G147" s="3" t="s">
        <v>851</v>
      </c>
      <c r="H147" s="3" t="s">
        <v>852</v>
      </c>
      <c r="I147" s="3" t="s">
        <v>853</v>
      </c>
      <c r="J147" s="3" t="s">
        <v>854</v>
      </c>
      <c r="K147" s="3" t="s">
        <v>209</v>
      </c>
      <c r="L147" s="2"/>
      <c r="M147" s="2"/>
      <c r="N147" s="2"/>
      <c r="O147" s="2"/>
      <c r="P147" s="2"/>
      <c r="Q147" s="2"/>
      <c r="R147" s="2"/>
      <c r="S147" s="2"/>
      <c r="T147" s="2"/>
      <c r="U147" s="2"/>
      <c r="V147" s="2"/>
      <c r="W147" s="2"/>
      <c r="X147" s="2"/>
      <c r="Y147" s="2"/>
      <c r="Z147" s="2"/>
    </row>
    <row r="148" ht="15.75" customHeight="1">
      <c r="A148" s="3" t="s">
        <v>855</v>
      </c>
      <c r="B148" s="3" t="s">
        <v>856</v>
      </c>
      <c r="C148" s="3" t="s">
        <v>386</v>
      </c>
      <c r="D148" s="3" t="s">
        <v>119</v>
      </c>
      <c r="E148" s="35">
        <v>0.4583333333333333</v>
      </c>
      <c r="F148" s="3" t="s">
        <v>850</v>
      </c>
      <c r="G148" s="3" t="s">
        <v>851</v>
      </c>
      <c r="H148" s="3" t="s">
        <v>852</v>
      </c>
      <c r="I148" s="3" t="s">
        <v>853</v>
      </c>
      <c r="J148" s="3" t="s">
        <v>854</v>
      </c>
      <c r="K148" s="3" t="s">
        <v>209</v>
      </c>
      <c r="L148" s="2"/>
      <c r="M148" s="2"/>
      <c r="N148" s="2"/>
      <c r="O148" s="2"/>
      <c r="P148" s="2"/>
      <c r="Q148" s="2"/>
      <c r="R148" s="2"/>
      <c r="S148" s="2"/>
      <c r="T148" s="2"/>
      <c r="U148" s="2"/>
      <c r="V148" s="2"/>
      <c r="W148" s="2"/>
      <c r="X148" s="2"/>
      <c r="Y148" s="2"/>
      <c r="Z148" s="2"/>
    </row>
    <row r="149" ht="15.75" customHeight="1">
      <c r="A149" s="3" t="s">
        <v>857</v>
      </c>
      <c r="B149" s="3" t="s">
        <v>560</v>
      </c>
      <c r="C149" s="3" t="s">
        <v>386</v>
      </c>
      <c r="D149" s="3" t="s">
        <v>119</v>
      </c>
      <c r="E149" s="35">
        <v>0.5208333333333334</v>
      </c>
      <c r="F149" s="3" t="s">
        <v>850</v>
      </c>
      <c r="G149" s="3" t="s">
        <v>851</v>
      </c>
      <c r="H149" s="3" t="s">
        <v>852</v>
      </c>
      <c r="I149" s="3" t="s">
        <v>853</v>
      </c>
      <c r="J149" s="3" t="s">
        <v>854</v>
      </c>
      <c r="K149" s="3" t="s">
        <v>209</v>
      </c>
      <c r="L149" s="2"/>
      <c r="M149" s="2"/>
      <c r="N149" s="2"/>
      <c r="O149" s="2"/>
      <c r="P149" s="2"/>
      <c r="Q149" s="2"/>
      <c r="R149" s="2"/>
      <c r="S149" s="2"/>
      <c r="T149" s="2"/>
      <c r="U149" s="2"/>
      <c r="V149" s="2"/>
      <c r="W149" s="2"/>
      <c r="X149" s="2"/>
      <c r="Y149" s="2"/>
      <c r="Z149" s="2"/>
    </row>
    <row r="150" ht="15.75" customHeight="1">
      <c r="A150" s="3" t="s">
        <v>858</v>
      </c>
      <c r="B150" s="3" t="s">
        <v>859</v>
      </c>
      <c r="C150" s="3" t="s">
        <v>467</v>
      </c>
      <c r="D150" s="3" t="s">
        <v>298</v>
      </c>
      <c r="E150" s="3" t="s">
        <v>860</v>
      </c>
      <c r="F150" s="3" t="s">
        <v>635</v>
      </c>
      <c r="G150" s="3" t="s">
        <v>861</v>
      </c>
      <c r="H150" s="3" t="s">
        <v>862</v>
      </c>
      <c r="I150" s="3" t="s">
        <v>863</v>
      </c>
      <c r="J150" s="3" t="s">
        <v>864</v>
      </c>
      <c r="K150" s="3" t="s">
        <v>209</v>
      </c>
      <c r="L150" s="2"/>
      <c r="M150" s="6" t="s">
        <v>865</v>
      </c>
      <c r="N150" s="2"/>
      <c r="O150" s="2"/>
      <c r="P150" s="2"/>
      <c r="Q150" s="2"/>
      <c r="R150" s="2"/>
      <c r="S150" s="2"/>
      <c r="T150" s="2"/>
      <c r="U150" s="2"/>
      <c r="V150" s="2"/>
      <c r="W150" s="2"/>
      <c r="X150" s="2"/>
      <c r="Y150" s="2"/>
      <c r="Z150" s="2"/>
    </row>
    <row r="151" ht="15.75" customHeight="1">
      <c r="A151" s="3" t="s">
        <v>866</v>
      </c>
      <c r="B151" s="3" t="s">
        <v>867</v>
      </c>
      <c r="C151" s="3" t="s">
        <v>720</v>
      </c>
      <c r="D151" s="3" t="s">
        <v>868</v>
      </c>
      <c r="E151" s="3" t="s">
        <v>869</v>
      </c>
      <c r="F151" s="3" t="s">
        <v>870</v>
      </c>
      <c r="G151" s="3" t="s">
        <v>871</v>
      </c>
      <c r="H151" s="3" t="s">
        <v>852</v>
      </c>
      <c r="I151" s="3" t="s">
        <v>872</v>
      </c>
      <c r="J151" s="9" t="s">
        <v>854</v>
      </c>
      <c r="K151" s="2"/>
      <c r="L151" s="2"/>
      <c r="M151" s="2"/>
      <c r="N151" s="2"/>
      <c r="O151" s="2"/>
      <c r="P151" s="2"/>
      <c r="Q151" s="2"/>
      <c r="R151" s="2"/>
      <c r="S151" s="2"/>
      <c r="T151" s="2"/>
      <c r="U151" s="2"/>
      <c r="V151" s="2"/>
      <c r="W151" s="2"/>
      <c r="X151" s="2"/>
      <c r="Y151" s="2"/>
      <c r="Z151" s="2"/>
    </row>
    <row r="152" ht="15.75" customHeight="1">
      <c r="A152" s="3" t="s">
        <v>873</v>
      </c>
      <c r="B152" s="3" t="s">
        <v>867</v>
      </c>
      <c r="C152" s="3" t="s">
        <v>530</v>
      </c>
      <c r="D152" s="3" t="s">
        <v>47</v>
      </c>
      <c r="E152" s="3" t="s">
        <v>874</v>
      </c>
      <c r="F152" s="3" t="s">
        <v>875</v>
      </c>
      <c r="G152" s="3" t="s">
        <v>876</v>
      </c>
      <c r="H152" s="3" t="s">
        <v>877</v>
      </c>
      <c r="I152" s="9" t="s">
        <v>878</v>
      </c>
      <c r="J152" s="2"/>
      <c r="K152" s="2"/>
      <c r="L152" s="2"/>
      <c r="M152" s="2"/>
      <c r="N152" s="2"/>
      <c r="O152" s="2"/>
      <c r="P152" s="2"/>
      <c r="Q152" s="2"/>
      <c r="R152" s="2"/>
      <c r="S152" s="2"/>
      <c r="T152" s="2"/>
      <c r="U152" s="2"/>
      <c r="V152" s="2"/>
      <c r="W152" s="2"/>
      <c r="X152" s="2"/>
      <c r="Y152" s="2"/>
      <c r="Z152" s="2"/>
    </row>
    <row r="153" ht="15.75" customHeight="1">
      <c r="A153" s="3" t="s">
        <v>879</v>
      </c>
      <c r="B153" s="3" t="s">
        <v>880</v>
      </c>
      <c r="C153" s="3" t="s">
        <v>530</v>
      </c>
      <c r="D153" s="3" t="s">
        <v>881</v>
      </c>
      <c r="E153" s="5">
        <v>0.5208333333333334</v>
      </c>
      <c r="F153" s="3" t="s">
        <v>882</v>
      </c>
      <c r="G153" s="3" t="s">
        <v>883</v>
      </c>
      <c r="H153" s="3" t="s">
        <v>884</v>
      </c>
      <c r="I153" s="3" t="s">
        <v>885</v>
      </c>
      <c r="J153" s="9" t="s">
        <v>886</v>
      </c>
      <c r="K153" s="2"/>
      <c r="L153" s="2"/>
      <c r="M153" s="2"/>
      <c r="N153" s="2"/>
      <c r="O153" s="2"/>
      <c r="P153" s="2"/>
      <c r="Q153" s="2"/>
      <c r="R153" s="2"/>
      <c r="S153" s="2"/>
      <c r="T153" s="2"/>
      <c r="U153" s="2"/>
      <c r="V153" s="2"/>
      <c r="W153" s="2"/>
      <c r="X153" s="2"/>
      <c r="Y153" s="2"/>
      <c r="Z153" s="2"/>
    </row>
    <row r="154" ht="15.75" customHeight="1">
      <c r="A154" s="3" t="s">
        <v>887</v>
      </c>
      <c r="B154" s="3" t="s">
        <v>888</v>
      </c>
      <c r="C154" s="3" t="s">
        <v>530</v>
      </c>
      <c r="D154" s="3" t="s">
        <v>20</v>
      </c>
      <c r="E154" s="3" t="s">
        <v>889</v>
      </c>
      <c r="F154" s="3" t="s">
        <v>882</v>
      </c>
      <c r="G154" s="3" t="s">
        <v>883</v>
      </c>
      <c r="H154" s="3" t="s">
        <v>884</v>
      </c>
      <c r="I154" s="3" t="s">
        <v>885</v>
      </c>
      <c r="J154" s="9" t="s">
        <v>886</v>
      </c>
      <c r="K154" s="2"/>
      <c r="L154" s="2"/>
      <c r="M154" s="2"/>
      <c r="N154" s="2"/>
      <c r="O154" s="2"/>
      <c r="P154" s="2"/>
      <c r="Q154" s="2"/>
      <c r="R154" s="2"/>
      <c r="S154" s="2"/>
      <c r="T154" s="2"/>
      <c r="U154" s="2"/>
      <c r="V154" s="2"/>
      <c r="W154" s="2"/>
      <c r="X154" s="2"/>
      <c r="Y154" s="2"/>
      <c r="Z154" s="2"/>
    </row>
    <row r="155" ht="15.75" customHeight="1">
      <c r="A155" s="3" t="s">
        <v>890</v>
      </c>
      <c r="B155" s="3" t="s">
        <v>891</v>
      </c>
      <c r="C155" s="3" t="s">
        <v>892</v>
      </c>
      <c r="D155" s="3" t="s">
        <v>893</v>
      </c>
      <c r="E155" s="3" t="s">
        <v>894</v>
      </c>
      <c r="F155" s="3" t="s">
        <v>895</v>
      </c>
      <c r="G155" s="3" t="s">
        <v>896</v>
      </c>
      <c r="H155" s="3" t="s">
        <v>897</v>
      </c>
      <c r="I155" s="2"/>
      <c r="J155" s="2"/>
      <c r="K155" s="3" t="s">
        <v>898</v>
      </c>
      <c r="L155" s="9" t="s">
        <v>899</v>
      </c>
      <c r="M155" s="2"/>
      <c r="N155" s="2"/>
      <c r="O155" s="2"/>
      <c r="P155" s="2"/>
      <c r="Q155" s="2"/>
      <c r="R155" s="2"/>
      <c r="S155" s="2"/>
      <c r="T155" s="2"/>
      <c r="U155" s="2"/>
      <c r="V155" s="2"/>
      <c r="W155" s="2"/>
      <c r="X155" s="2"/>
      <c r="Y155" s="2"/>
      <c r="Z155" s="2"/>
    </row>
    <row r="156" ht="15.75" customHeight="1">
      <c r="A156" s="3" t="s">
        <v>900</v>
      </c>
      <c r="B156" s="3" t="s">
        <v>806</v>
      </c>
      <c r="C156" s="3" t="s">
        <v>530</v>
      </c>
      <c r="D156" s="3" t="s">
        <v>298</v>
      </c>
      <c r="E156" s="5">
        <v>0.7083333333333334</v>
      </c>
      <c r="F156" s="9" t="s">
        <v>901</v>
      </c>
      <c r="G156" s="2"/>
      <c r="H156" s="3" t="s">
        <v>902</v>
      </c>
      <c r="I156" s="3" t="s">
        <v>903</v>
      </c>
      <c r="J156" s="9" t="s">
        <v>904</v>
      </c>
      <c r="K156" s="2"/>
      <c r="L156" s="2"/>
      <c r="M156" s="2"/>
      <c r="N156" s="2"/>
      <c r="O156" s="2"/>
      <c r="P156" s="2"/>
      <c r="Q156" s="2"/>
      <c r="R156" s="2"/>
      <c r="S156" s="2"/>
      <c r="T156" s="2"/>
      <c r="U156" s="2"/>
      <c r="V156" s="2"/>
      <c r="W156" s="2"/>
      <c r="X156" s="2"/>
      <c r="Y156" s="2"/>
      <c r="Z156" s="2"/>
    </row>
    <row r="157" ht="15.75" customHeight="1">
      <c r="A157" s="3" t="s">
        <v>905</v>
      </c>
      <c r="B157" s="3" t="s">
        <v>906</v>
      </c>
      <c r="C157" s="3" t="s">
        <v>530</v>
      </c>
      <c r="D157" s="3" t="s">
        <v>20</v>
      </c>
      <c r="E157" s="3" t="s">
        <v>907</v>
      </c>
      <c r="F157" s="9" t="s">
        <v>908</v>
      </c>
      <c r="G157" s="2"/>
      <c r="H157" s="3" t="s">
        <v>751</v>
      </c>
      <c r="I157" s="9" t="s">
        <v>752</v>
      </c>
      <c r="J157" s="2"/>
      <c r="K157" s="2"/>
      <c r="L157" s="2"/>
      <c r="M157" s="2"/>
      <c r="N157" s="2"/>
      <c r="O157" s="2"/>
      <c r="P157" s="2"/>
      <c r="Q157" s="2"/>
      <c r="R157" s="2"/>
      <c r="S157" s="2"/>
      <c r="T157" s="2"/>
      <c r="U157" s="2"/>
      <c r="V157" s="2"/>
      <c r="W157" s="2"/>
      <c r="X157" s="2"/>
      <c r="Y157" s="2"/>
      <c r="Z157" s="2"/>
    </row>
    <row r="158" ht="15.75" customHeight="1">
      <c r="A158" s="3" t="s">
        <v>909</v>
      </c>
      <c r="B158" s="3" t="s">
        <v>910</v>
      </c>
      <c r="C158" s="3" t="s">
        <v>530</v>
      </c>
      <c r="D158" s="3" t="s">
        <v>268</v>
      </c>
      <c r="E158" s="3" t="s">
        <v>911</v>
      </c>
      <c r="F158" s="3" t="s">
        <v>912</v>
      </c>
      <c r="G158" s="3" t="s">
        <v>913</v>
      </c>
      <c r="H158" s="3" t="s">
        <v>914</v>
      </c>
      <c r="I158" s="2"/>
      <c r="J158" s="2"/>
      <c r="K158" s="3" t="s">
        <v>915</v>
      </c>
      <c r="L158" s="3" t="s">
        <v>916</v>
      </c>
      <c r="M158" s="6" t="s">
        <v>917</v>
      </c>
      <c r="N158" s="2"/>
      <c r="O158" s="2"/>
      <c r="P158" s="2"/>
      <c r="Q158" s="2"/>
      <c r="R158" s="2"/>
      <c r="S158" s="2"/>
      <c r="T158" s="2"/>
      <c r="U158" s="2"/>
      <c r="V158" s="2"/>
      <c r="W158" s="2"/>
      <c r="X158" s="2"/>
      <c r="Y158" s="2"/>
      <c r="Z158" s="2"/>
    </row>
    <row r="159" ht="15.75" customHeight="1">
      <c r="A159" s="3" t="s">
        <v>909</v>
      </c>
      <c r="B159" s="3" t="s">
        <v>910</v>
      </c>
      <c r="C159" s="3" t="s">
        <v>530</v>
      </c>
      <c r="D159" s="3" t="s">
        <v>88</v>
      </c>
      <c r="E159" s="3" t="s">
        <v>911</v>
      </c>
      <c r="F159" s="3" t="s">
        <v>918</v>
      </c>
      <c r="G159" s="3" t="s">
        <v>913</v>
      </c>
      <c r="H159" s="3" t="s">
        <v>914</v>
      </c>
      <c r="I159" s="2"/>
      <c r="J159" s="2"/>
      <c r="K159" s="3" t="s">
        <v>915</v>
      </c>
      <c r="L159" s="3" t="s">
        <v>916</v>
      </c>
      <c r="M159" s="6" t="s">
        <v>917</v>
      </c>
      <c r="N159" s="2"/>
      <c r="O159" s="2"/>
      <c r="P159" s="2"/>
      <c r="Q159" s="2"/>
      <c r="R159" s="2"/>
      <c r="S159" s="2"/>
      <c r="T159" s="2"/>
      <c r="U159" s="2"/>
      <c r="V159" s="2"/>
      <c r="W159" s="2"/>
      <c r="X159" s="2"/>
      <c r="Y159" s="2"/>
      <c r="Z159" s="2"/>
    </row>
    <row r="160" ht="15.75" customHeight="1">
      <c r="A160" s="3" t="s">
        <v>919</v>
      </c>
      <c r="B160" s="3" t="s">
        <v>920</v>
      </c>
      <c r="C160" s="3" t="s">
        <v>530</v>
      </c>
      <c r="D160" s="3" t="s">
        <v>20</v>
      </c>
      <c r="E160" s="3" t="s">
        <v>921</v>
      </c>
      <c r="F160" s="3" t="s">
        <v>918</v>
      </c>
      <c r="G160" s="3" t="s">
        <v>922</v>
      </c>
      <c r="H160" s="3" t="s">
        <v>923</v>
      </c>
      <c r="I160" s="2"/>
      <c r="J160" s="2"/>
      <c r="K160" s="9" t="s">
        <v>915</v>
      </c>
      <c r="L160" s="2"/>
      <c r="M160" s="6" t="s">
        <v>917</v>
      </c>
      <c r="N160" s="2"/>
      <c r="O160" s="2"/>
      <c r="P160" s="2"/>
      <c r="Q160" s="2"/>
      <c r="R160" s="2"/>
      <c r="S160" s="2"/>
      <c r="T160" s="2"/>
      <c r="U160" s="2"/>
      <c r="V160" s="2"/>
      <c r="W160" s="2"/>
      <c r="X160" s="2"/>
      <c r="Y160" s="2"/>
      <c r="Z160" s="2"/>
    </row>
    <row r="161" ht="15.75" customHeight="1">
      <c r="A161" s="3" t="s">
        <v>919</v>
      </c>
      <c r="B161" s="3" t="s">
        <v>920</v>
      </c>
      <c r="C161" s="3" t="s">
        <v>530</v>
      </c>
      <c r="D161" s="3" t="s">
        <v>298</v>
      </c>
      <c r="E161" s="3" t="s">
        <v>911</v>
      </c>
      <c r="F161" s="3" t="s">
        <v>912</v>
      </c>
      <c r="G161" s="3" t="s">
        <v>922</v>
      </c>
      <c r="H161" s="3" t="s">
        <v>923</v>
      </c>
      <c r="I161" s="2"/>
      <c r="J161" s="2"/>
      <c r="K161" s="9" t="s">
        <v>915</v>
      </c>
      <c r="L161" s="2"/>
      <c r="M161" s="6" t="s">
        <v>917</v>
      </c>
      <c r="N161" s="2"/>
      <c r="O161" s="2"/>
      <c r="P161" s="2"/>
      <c r="Q161" s="2"/>
      <c r="R161" s="2"/>
      <c r="S161" s="2"/>
      <c r="T161" s="2"/>
      <c r="U161" s="2"/>
      <c r="V161" s="2"/>
      <c r="W161" s="2"/>
      <c r="X161" s="2"/>
      <c r="Y161" s="2"/>
      <c r="Z161" s="2"/>
    </row>
    <row r="162" ht="15.75" customHeight="1">
      <c r="A162" s="3" t="s">
        <v>924</v>
      </c>
      <c r="B162" s="3" t="s">
        <v>891</v>
      </c>
      <c r="C162" s="3" t="s">
        <v>530</v>
      </c>
      <c r="D162" s="3" t="s">
        <v>925</v>
      </c>
      <c r="E162" s="3" t="s">
        <v>926</v>
      </c>
      <c r="F162" s="3" t="s">
        <v>927</v>
      </c>
      <c r="G162" s="3" t="s">
        <v>928</v>
      </c>
      <c r="H162" s="3" t="s">
        <v>929</v>
      </c>
      <c r="I162" s="3" t="s">
        <v>930</v>
      </c>
      <c r="J162" s="3" t="s">
        <v>931</v>
      </c>
      <c r="K162" s="9" t="s">
        <v>932</v>
      </c>
      <c r="L162" s="2"/>
      <c r="M162" s="2"/>
      <c r="N162" s="2"/>
      <c r="O162" s="2"/>
      <c r="P162" s="2"/>
      <c r="Q162" s="2"/>
      <c r="R162" s="2"/>
      <c r="S162" s="2"/>
      <c r="T162" s="2"/>
      <c r="U162" s="2"/>
      <c r="V162" s="2"/>
      <c r="W162" s="2"/>
      <c r="X162" s="2"/>
      <c r="Y162" s="2"/>
      <c r="Z162" s="2"/>
    </row>
    <row r="163" ht="15.75" customHeight="1">
      <c r="A163" s="3" t="s">
        <v>933</v>
      </c>
      <c r="B163" s="3" t="s">
        <v>934</v>
      </c>
      <c r="C163" s="3" t="s">
        <v>935</v>
      </c>
      <c r="D163" s="3" t="s">
        <v>88</v>
      </c>
      <c r="E163" s="3" t="s">
        <v>936</v>
      </c>
      <c r="F163" s="9" t="s">
        <v>927</v>
      </c>
      <c r="G163" s="2"/>
      <c r="H163" s="3" t="s">
        <v>937</v>
      </c>
      <c r="I163" s="3" t="s">
        <v>930</v>
      </c>
      <c r="J163" s="3" t="s">
        <v>931</v>
      </c>
      <c r="K163" s="3" t="s">
        <v>932</v>
      </c>
      <c r="L163" s="9" t="s">
        <v>938</v>
      </c>
      <c r="M163" s="2"/>
      <c r="N163" s="2"/>
      <c r="O163" s="2"/>
      <c r="P163" s="2"/>
      <c r="Q163" s="2"/>
      <c r="R163" s="2"/>
      <c r="S163" s="2"/>
      <c r="T163" s="2"/>
      <c r="U163" s="2"/>
      <c r="V163" s="2"/>
      <c r="W163" s="2"/>
      <c r="X163" s="2"/>
      <c r="Y163" s="2"/>
      <c r="Z163" s="2"/>
    </row>
    <row r="164" ht="15.75" customHeight="1">
      <c r="A164" s="3" t="s">
        <v>939</v>
      </c>
      <c r="B164" s="3" t="s">
        <v>934</v>
      </c>
      <c r="C164" s="3" t="s">
        <v>935</v>
      </c>
      <c r="D164" s="3" t="s">
        <v>298</v>
      </c>
      <c r="E164" s="3" t="s">
        <v>936</v>
      </c>
      <c r="F164" s="9" t="s">
        <v>927</v>
      </c>
      <c r="G164" s="2"/>
      <c r="H164" s="3" t="s">
        <v>937</v>
      </c>
      <c r="I164" s="3" t="s">
        <v>930</v>
      </c>
      <c r="J164" s="3" t="s">
        <v>931</v>
      </c>
      <c r="K164" s="3" t="s">
        <v>932</v>
      </c>
      <c r="L164" s="9" t="s">
        <v>940</v>
      </c>
      <c r="M164" s="2"/>
      <c r="N164" s="2"/>
      <c r="O164" s="2"/>
      <c r="P164" s="2"/>
      <c r="Q164" s="2"/>
      <c r="R164" s="2"/>
      <c r="S164" s="2"/>
      <c r="T164" s="2"/>
      <c r="U164" s="2"/>
      <c r="V164" s="2"/>
      <c r="W164" s="2"/>
      <c r="X164" s="2"/>
      <c r="Y164" s="2"/>
      <c r="Z164" s="2"/>
    </row>
    <row r="165" ht="15.75" customHeight="1">
      <c r="A165" s="3" t="s">
        <v>941</v>
      </c>
      <c r="B165" s="3" t="s">
        <v>891</v>
      </c>
      <c r="C165" s="3" t="s">
        <v>942</v>
      </c>
      <c r="D165" s="3" t="s">
        <v>943</v>
      </c>
      <c r="E165" s="3" t="s">
        <v>944</v>
      </c>
      <c r="F165" s="9" t="s">
        <v>927</v>
      </c>
      <c r="G165" s="2"/>
      <c r="H165" s="3" t="s">
        <v>945</v>
      </c>
      <c r="I165" s="3" t="s">
        <v>930</v>
      </c>
      <c r="J165" s="3" t="s">
        <v>931</v>
      </c>
      <c r="K165" s="3" t="s">
        <v>932</v>
      </c>
      <c r="L165" s="9" t="s">
        <v>946</v>
      </c>
      <c r="M165" s="2"/>
      <c r="N165" s="2"/>
      <c r="O165" s="2"/>
      <c r="P165" s="2"/>
      <c r="Q165" s="2"/>
      <c r="R165" s="2"/>
      <c r="S165" s="2"/>
      <c r="T165" s="2"/>
      <c r="U165" s="2"/>
      <c r="V165" s="2"/>
      <c r="W165" s="2"/>
      <c r="X165" s="2"/>
      <c r="Y165" s="2"/>
      <c r="Z165" s="2"/>
    </row>
    <row r="166" ht="15.75" customHeight="1">
      <c r="A166" s="3" t="s">
        <v>947</v>
      </c>
      <c r="B166" s="3" t="s">
        <v>891</v>
      </c>
      <c r="C166" s="3" t="s">
        <v>530</v>
      </c>
      <c r="D166" s="3" t="s">
        <v>948</v>
      </c>
      <c r="E166" s="3" t="s">
        <v>949</v>
      </c>
      <c r="F166" s="9" t="s">
        <v>927</v>
      </c>
      <c r="G166" s="2"/>
      <c r="H166" s="3" t="s">
        <v>950</v>
      </c>
      <c r="I166" s="3" t="s">
        <v>930</v>
      </c>
      <c r="J166" s="3" t="s">
        <v>931</v>
      </c>
      <c r="K166" s="9" t="s">
        <v>932</v>
      </c>
      <c r="L166" s="2"/>
      <c r="M166" s="2"/>
      <c r="N166" s="2"/>
      <c r="O166" s="2"/>
      <c r="P166" s="2"/>
      <c r="Q166" s="2"/>
      <c r="R166" s="2"/>
      <c r="S166" s="2"/>
      <c r="T166" s="2"/>
      <c r="U166" s="2"/>
      <c r="V166" s="2"/>
      <c r="W166" s="2"/>
      <c r="X166" s="2"/>
      <c r="Y166" s="2"/>
      <c r="Z166" s="2"/>
    </row>
    <row r="167" ht="15.75" customHeight="1">
      <c r="A167" s="3" t="s">
        <v>951</v>
      </c>
      <c r="B167" s="3" t="s">
        <v>951</v>
      </c>
      <c r="C167" s="3" t="s">
        <v>530</v>
      </c>
      <c r="D167" s="3" t="s">
        <v>948</v>
      </c>
      <c r="E167" s="3" t="s">
        <v>952</v>
      </c>
      <c r="F167" s="9" t="s">
        <v>927</v>
      </c>
      <c r="G167" s="2"/>
      <c r="H167" s="3" t="s">
        <v>937</v>
      </c>
      <c r="I167" s="3" t="s">
        <v>930</v>
      </c>
      <c r="J167" s="3" t="s">
        <v>931</v>
      </c>
      <c r="K167" s="9" t="s">
        <v>932</v>
      </c>
      <c r="L167" s="2"/>
      <c r="M167" s="2"/>
      <c r="N167" s="2"/>
      <c r="O167" s="2"/>
      <c r="P167" s="2"/>
      <c r="Q167" s="2"/>
      <c r="R167" s="2"/>
      <c r="S167" s="2"/>
      <c r="T167" s="2"/>
      <c r="U167" s="2"/>
      <c r="V167" s="2"/>
      <c r="W167" s="2"/>
      <c r="X167" s="2"/>
      <c r="Y167" s="2"/>
      <c r="Z167" s="2"/>
    </row>
    <row r="168" ht="15.75" customHeight="1">
      <c r="A168" s="3" t="s">
        <v>953</v>
      </c>
      <c r="B168" s="3" t="s">
        <v>954</v>
      </c>
      <c r="C168" s="3" t="s">
        <v>530</v>
      </c>
      <c r="D168" s="3" t="s">
        <v>268</v>
      </c>
      <c r="E168" s="3" t="s">
        <v>955</v>
      </c>
      <c r="F168" s="9" t="s">
        <v>927</v>
      </c>
      <c r="G168" s="2"/>
      <c r="H168" s="3" t="s">
        <v>956</v>
      </c>
      <c r="I168" s="3" t="s">
        <v>930</v>
      </c>
      <c r="J168" s="3" t="s">
        <v>931</v>
      </c>
      <c r="K168" s="9" t="s">
        <v>932</v>
      </c>
      <c r="L168" s="2"/>
      <c r="M168" s="2"/>
      <c r="N168" s="2"/>
      <c r="O168" s="2"/>
      <c r="P168" s="2"/>
      <c r="Q168" s="2"/>
      <c r="R168" s="2"/>
      <c r="S168" s="2"/>
      <c r="T168" s="2"/>
      <c r="U168" s="2"/>
      <c r="V168" s="2"/>
      <c r="W168" s="2"/>
      <c r="X168" s="2"/>
      <c r="Y168" s="2"/>
      <c r="Z168" s="2"/>
    </row>
    <row r="169" ht="15.75" customHeight="1">
      <c r="A169" s="3" t="s">
        <v>957</v>
      </c>
      <c r="B169" s="3" t="s">
        <v>891</v>
      </c>
      <c r="C169" s="3" t="s">
        <v>530</v>
      </c>
      <c r="D169" s="3" t="s">
        <v>958</v>
      </c>
      <c r="E169" s="3" t="s">
        <v>959</v>
      </c>
      <c r="F169" s="9" t="s">
        <v>927</v>
      </c>
      <c r="G169" s="2"/>
      <c r="H169" s="3" t="s">
        <v>960</v>
      </c>
      <c r="I169" s="3" t="s">
        <v>930</v>
      </c>
      <c r="J169" s="3" t="s">
        <v>931</v>
      </c>
      <c r="K169" s="9" t="s">
        <v>932</v>
      </c>
      <c r="L169" s="2"/>
      <c r="M169" s="2"/>
      <c r="N169" s="2"/>
      <c r="O169" s="2"/>
      <c r="P169" s="2"/>
      <c r="Q169" s="2"/>
      <c r="R169" s="2"/>
      <c r="S169" s="2"/>
      <c r="T169" s="2"/>
      <c r="U169" s="2"/>
      <c r="V169" s="2"/>
      <c r="W169" s="2"/>
      <c r="X169" s="2"/>
      <c r="Y169" s="2"/>
      <c r="Z169" s="2"/>
    </row>
    <row r="170" ht="15.75" customHeight="1">
      <c r="A170" s="3" t="s">
        <v>961</v>
      </c>
      <c r="B170" s="3" t="s">
        <v>891</v>
      </c>
      <c r="C170" s="3" t="s">
        <v>530</v>
      </c>
      <c r="D170" s="3" t="s">
        <v>47</v>
      </c>
      <c r="E170" s="3" t="s">
        <v>962</v>
      </c>
      <c r="F170" s="9" t="s">
        <v>927</v>
      </c>
      <c r="G170" s="2"/>
      <c r="H170" s="3" t="s">
        <v>950</v>
      </c>
      <c r="I170" s="3" t="s">
        <v>930</v>
      </c>
      <c r="J170" s="3" t="s">
        <v>931</v>
      </c>
      <c r="K170" s="9" t="s">
        <v>932</v>
      </c>
      <c r="L170" s="2"/>
      <c r="M170" s="2"/>
      <c r="N170" s="2"/>
      <c r="O170" s="2"/>
      <c r="P170" s="2"/>
      <c r="Q170" s="2"/>
      <c r="R170" s="2"/>
      <c r="S170" s="2"/>
      <c r="T170" s="2"/>
      <c r="U170" s="2"/>
      <c r="V170" s="2"/>
      <c r="W170" s="2"/>
      <c r="X170" s="2"/>
      <c r="Y170" s="2"/>
      <c r="Z170" s="2"/>
    </row>
    <row r="171" ht="15.75" customHeight="1">
      <c r="A171" s="3" t="s">
        <v>963</v>
      </c>
      <c r="B171" s="3" t="s">
        <v>891</v>
      </c>
      <c r="C171" s="3" t="s">
        <v>530</v>
      </c>
      <c r="D171" s="3" t="s">
        <v>964</v>
      </c>
      <c r="E171" s="3" t="s">
        <v>965</v>
      </c>
      <c r="F171" s="9" t="s">
        <v>927</v>
      </c>
      <c r="G171" s="2"/>
      <c r="H171" s="3" t="s">
        <v>966</v>
      </c>
      <c r="I171" s="3" t="s">
        <v>930</v>
      </c>
      <c r="J171" s="3" t="s">
        <v>931</v>
      </c>
      <c r="K171" s="9" t="s">
        <v>932</v>
      </c>
      <c r="L171" s="2"/>
      <c r="M171" s="2"/>
      <c r="N171" s="2"/>
      <c r="O171" s="2"/>
      <c r="P171" s="2"/>
      <c r="Q171" s="2"/>
      <c r="R171" s="2"/>
      <c r="S171" s="2"/>
      <c r="T171" s="2"/>
      <c r="U171" s="2"/>
      <c r="V171" s="2"/>
      <c r="W171" s="2"/>
      <c r="X171" s="2"/>
      <c r="Y171" s="2"/>
      <c r="Z171" s="2"/>
    </row>
    <row r="172" ht="15.75" customHeight="1">
      <c r="A172" s="3" t="s">
        <v>967</v>
      </c>
      <c r="B172" s="3" t="s">
        <v>891</v>
      </c>
      <c r="C172" s="3" t="s">
        <v>530</v>
      </c>
      <c r="D172" s="3" t="s">
        <v>47</v>
      </c>
      <c r="E172" s="3" t="s">
        <v>926</v>
      </c>
      <c r="F172" s="9" t="s">
        <v>927</v>
      </c>
      <c r="G172" s="2"/>
      <c r="H172" s="3" t="s">
        <v>929</v>
      </c>
      <c r="I172" s="3" t="s">
        <v>930</v>
      </c>
      <c r="J172" s="3" t="s">
        <v>931</v>
      </c>
      <c r="K172" s="3" t="s">
        <v>932</v>
      </c>
      <c r="L172" s="9" t="s">
        <v>740</v>
      </c>
      <c r="M172" s="2"/>
      <c r="N172" s="2"/>
      <c r="O172" s="2"/>
      <c r="P172" s="2"/>
      <c r="Q172" s="2"/>
      <c r="R172" s="2"/>
      <c r="S172" s="2"/>
      <c r="T172" s="2"/>
      <c r="U172" s="2"/>
      <c r="V172" s="2"/>
      <c r="W172" s="2"/>
      <c r="X172" s="2"/>
      <c r="Y172" s="2"/>
      <c r="Z172" s="2"/>
    </row>
    <row r="173" ht="15.75" customHeight="1">
      <c r="A173" s="3" t="s">
        <v>968</v>
      </c>
      <c r="B173" s="3" t="s">
        <v>891</v>
      </c>
      <c r="C173" s="3" t="s">
        <v>530</v>
      </c>
      <c r="D173" s="3" t="s">
        <v>969</v>
      </c>
      <c r="E173" s="3" t="s">
        <v>926</v>
      </c>
      <c r="F173" s="9" t="s">
        <v>927</v>
      </c>
      <c r="G173" s="2"/>
      <c r="H173" s="3" t="s">
        <v>966</v>
      </c>
      <c r="I173" s="3" t="s">
        <v>930</v>
      </c>
      <c r="J173" s="3" t="s">
        <v>931</v>
      </c>
      <c r="K173" s="9" t="s">
        <v>932</v>
      </c>
      <c r="L173" s="2"/>
      <c r="M173" s="2"/>
      <c r="N173" s="2"/>
      <c r="O173" s="2"/>
      <c r="P173" s="2"/>
      <c r="Q173" s="2"/>
      <c r="R173" s="2"/>
      <c r="S173" s="2"/>
      <c r="T173" s="2"/>
      <c r="U173" s="2"/>
      <c r="V173" s="2"/>
      <c r="W173" s="2"/>
      <c r="X173" s="2"/>
      <c r="Y173" s="2"/>
      <c r="Z173" s="2"/>
    </row>
    <row r="174" ht="15.75" customHeight="1">
      <c r="A174" s="3" t="s">
        <v>970</v>
      </c>
      <c r="B174" s="3" t="s">
        <v>891</v>
      </c>
      <c r="C174" s="3" t="s">
        <v>530</v>
      </c>
      <c r="D174" s="3" t="s">
        <v>298</v>
      </c>
      <c r="E174" s="3" t="s">
        <v>971</v>
      </c>
      <c r="F174" s="9" t="s">
        <v>927</v>
      </c>
      <c r="G174" s="2"/>
      <c r="H174" s="3" t="s">
        <v>966</v>
      </c>
      <c r="I174" s="3" t="s">
        <v>930</v>
      </c>
      <c r="J174" s="3" t="s">
        <v>931</v>
      </c>
      <c r="K174" s="9" t="s">
        <v>932</v>
      </c>
      <c r="L174" s="2"/>
      <c r="M174" s="2"/>
      <c r="N174" s="2"/>
      <c r="O174" s="2"/>
      <c r="P174" s="2"/>
      <c r="Q174" s="2"/>
      <c r="R174" s="2"/>
      <c r="S174" s="2"/>
      <c r="T174" s="2"/>
      <c r="U174" s="2"/>
      <c r="V174" s="2"/>
      <c r="W174" s="2"/>
      <c r="X174" s="2"/>
      <c r="Y174" s="2"/>
      <c r="Z174" s="2"/>
    </row>
    <row r="175" ht="15.75" customHeight="1">
      <c r="A175" s="3" t="s">
        <v>972</v>
      </c>
      <c r="B175" s="3" t="s">
        <v>973</v>
      </c>
      <c r="C175" s="3" t="s">
        <v>530</v>
      </c>
      <c r="D175" s="3" t="s">
        <v>298</v>
      </c>
      <c r="E175" s="3" t="s">
        <v>974</v>
      </c>
      <c r="F175" s="9" t="s">
        <v>927</v>
      </c>
      <c r="G175" s="2"/>
      <c r="H175" s="3" t="s">
        <v>975</v>
      </c>
      <c r="I175" s="3" t="s">
        <v>930</v>
      </c>
      <c r="J175" s="3" t="s">
        <v>931</v>
      </c>
      <c r="K175" s="3" t="s">
        <v>932</v>
      </c>
      <c r="L175" s="9" t="s">
        <v>976</v>
      </c>
      <c r="M175" s="2"/>
      <c r="N175" s="2"/>
      <c r="O175" s="2"/>
      <c r="P175" s="2"/>
      <c r="Q175" s="2"/>
      <c r="R175" s="2"/>
      <c r="S175" s="2"/>
      <c r="T175" s="2"/>
      <c r="U175" s="2"/>
      <c r="V175" s="2"/>
      <c r="W175" s="2"/>
      <c r="X175" s="2"/>
      <c r="Y175" s="2"/>
      <c r="Z175" s="2"/>
    </row>
    <row r="176" ht="15.75" customHeight="1">
      <c r="A176" s="3" t="s">
        <v>977</v>
      </c>
      <c r="B176" s="3" t="s">
        <v>978</v>
      </c>
      <c r="C176" s="3" t="s">
        <v>530</v>
      </c>
      <c r="D176" s="3" t="s">
        <v>92</v>
      </c>
      <c r="E176" s="3" t="s">
        <v>979</v>
      </c>
      <c r="F176" s="9" t="s">
        <v>927</v>
      </c>
      <c r="G176" s="2"/>
      <c r="H176" s="3" t="s">
        <v>980</v>
      </c>
      <c r="I176" s="3" t="s">
        <v>930</v>
      </c>
      <c r="J176" s="3" t="s">
        <v>931</v>
      </c>
      <c r="K176" s="3" t="s">
        <v>932</v>
      </c>
      <c r="L176" s="9" t="s">
        <v>981</v>
      </c>
      <c r="M176" s="2"/>
      <c r="N176" s="2"/>
      <c r="O176" s="2"/>
      <c r="P176" s="2"/>
      <c r="Q176" s="2"/>
      <c r="R176" s="2"/>
      <c r="S176" s="2"/>
      <c r="T176" s="2"/>
      <c r="U176" s="2"/>
      <c r="V176" s="2"/>
      <c r="W176" s="2"/>
      <c r="X176" s="2"/>
      <c r="Y176" s="2"/>
      <c r="Z176" s="2"/>
    </row>
    <row r="177" ht="15.75" customHeight="1">
      <c r="A177" s="3" t="s">
        <v>982</v>
      </c>
      <c r="B177" s="3" t="s">
        <v>983</v>
      </c>
      <c r="C177" s="3" t="s">
        <v>530</v>
      </c>
      <c r="D177" s="3" t="s">
        <v>92</v>
      </c>
      <c r="E177" s="3" t="s">
        <v>984</v>
      </c>
      <c r="F177" s="9" t="s">
        <v>927</v>
      </c>
      <c r="G177" s="2"/>
      <c r="H177" s="3" t="s">
        <v>985</v>
      </c>
      <c r="I177" s="3" t="s">
        <v>930</v>
      </c>
      <c r="J177" s="3" t="s">
        <v>931</v>
      </c>
      <c r="K177" s="9" t="s">
        <v>932</v>
      </c>
      <c r="L177" s="2"/>
      <c r="M177" s="2"/>
      <c r="N177" s="2"/>
      <c r="O177" s="2"/>
      <c r="P177" s="2"/>
      <c r="Q177" s="2"/>
      <c r="R177" s="2"/>
      <c r="S177" s="2"/>
      <c r="T177" s="2"/>
      <c r="U177" s="2"/>
      <c r="V177" s="2"/>
      <c r="W177" s="2"/>
      <c r="X177" s="2"/>
      <c r="Y177" s="2"/>
      <c r="Z177" s="2"/>
    </row>
    <row r="178" ht="15.75" customHeight="1">
      <c r="A178" s="3" t="s">
        <v>986</v>
      </c>
      <c r="B178" s="3" t="s">
        <v>987</v>
      </c>
      <c r="C178" s="3" t="s">
        <v>530</v>
      </c>
      <c r="D178" s="3" t="s">
        <v>92</v>
      </c>
      <c r="E178" s="3" t="s">
        <v>974</v>
      </c>
      <c r="F178" s="9" t="s">
        <v>927</v>
      </c>
      <c r="G178" s="2"/>
      <c r="H178" s="3" t="s">
        <v>988</v>
      </c>
      <c r="I178" s="3" t="s">
        <v>930</v>
      </c>
      <c r="J178" s="3" t="s">
        <v>931</v>
      </c>
      <c r="K178" s="9" t="s">
        <v>932</v>
      </c>
      <c r="L178" s="2"/>
      <c r="M178" s="2"/>
      <c r="N178" s="2"/>
      <c r="O178" s="2"/>
      <c r="P178" s="2"/>
      <c r="Q178" s="2"/>
      <c r="R178" s="2"/>
      <c r="S178" s="2"/>
      <c r="T178" s="2"/>
      <c r="U178" s="2"/>
      <c r="V178" s="2"/>
      <c r="W178" s="2"/>
      <c r="X178" s="2"/>
      <c r="Y178" s="2"/>
      <c r="Z178" s="2"/>
    </row>
    <row r="179" ht="15.75" customHeight="1">
      <c r="A179" s="3" t="s">
        <v>989</v>
      </c>
      <c r="B179" s="3" t="s">
        <v>990</v>
      </c>
      <c r="C179" s="3" t="s">
        <v>530</v>
      </c>
      <c r="D179" s="3" t="s">
        <v>92</v>
      </c>
      <c r="E179" s="3" t="s">
        <v>991</v>
      </c>
      <c r="F179" s="9" t="s">
        <v>927</v>
      </c>
      <c r="G179" s="2"/>
      <c r="H179" s="3" t="s">
        <v>992</v>
      </c>
      <c r="I179" s="3" t="s">
        <v>930</v>
      </c>
      <c r="J179" s="3" t="s">
        <v>931</v>
      </c>
      <c r="K179" s="9" t="s">
        <v>932</v>
      </c>
      <c r="L179" s="2"/>
      <c r="M179" s="2"/>
      <c r="N179" s="2"/>
      <c r="O179" s="2"/>
      <c r="P179" s="2"/>
      <c r="Q179" s="2"/>
      <c r="R179" s="2"/>
      <c r="S179" s="2"/>
      <c r="T179" s="2"/>
      <c r="U179" s="2"/>
      <c r="V179" s="2"/>
      <c r="W179" s="2"/>
      <c r="X179" s="2"/>
      <c r="Y179" s="2"/>
      <c r="Z179" s="2"/>
    </row>
    <row r="180" ht="15.75" customHeight="1">
      <c r="A180" s="3" t="s">
        <v>993</v>
      </c>
      <c r="B180" s="3" t="s">
        <v>994</v>
      </c>
      <c r="C180" s="3" t="s">
        <v>530</v>
      </c>
      <c r="D180" s="3" t="s">
        <v>47</v>
      </c>
      <c r="E180" s="3" t="s">
        <v>952</v>
      </c>
      <c r="F180" s="9" t="s">
        <v>927</v>
      </c>
      <c r="G180" s="2"/>
      <c r="H180" s="3" t="s">
        <v>937</v>
      </c>
      <c r="I180" s="3" t="s">
        <v>930</v>
      </c>
      <c r="J180" s="3" t="s">
        <v>931</v>
      </c>
      <c r="K180" s="9" t="s">
        <v>932</v>
      </c>
      <c r="L180" s="2"/>
      <c r="M180" s="2"/>
      <c r="N180" s="2"/>
      <c r="O180" s="2"/>
      <c r="P180" s="2"/>
      <c r="Q180" s="2"/>
      <c r="R180" s="2"/>
      <c r="S180" s="2"/>
      <c r="T180" s="2"/>
      <c r="U180" s="2"/>
      <c r="V180" s="2"/>
      <c r="W180" s="2"/>
      <c r="X180" s="2"/>
      <c r="Y180" s="2"/>
      <c r="Z180" s="2"/>
    </row>
    <row r="181" ht="15.75" customHeight="1">
      <c r="A181" s="3" t="s">
        <v>995</v>
      </c>
      <c r="B181" s="3" t="s">
        <v>891</v>
      </c>
      <c r="C181" s="3" t="s">
        <v>530</v>
      </c>
      <c r="D181" s="3" t="s">
        <v>47</v>
      </c>
      <c r="E181" s="3" t="s">
        <v>996</v>
      </c>
      <c r="F181" s="9" t="s">
        <v>927</v>
      </c>
      <c r="G181" s="2"/>
      <c r="H181" s="3" t="s">
        <v>950</v>
      </c>
      <c r="I181" s="3" t="s">
        <v>930</v>
      </c>
      <c r="J181" s="3" t="s">
        <v>931</v>
      </c>
      <c r="K181" s="3" t="s">
        <v>932</v>
      </c>
      <c r="L181" s="9" t="s">
        <v>997</v>
      </c>
      <c r="M181" s="2"/>
      <c r="N181" s="2"/>
      <c r="O181" s="2"/>
      <c r="P181" s="2"/>
      <c r="Q181" s="2"/>
      <c r="R181" s="2"/>
      <c r="S181" s="2"/>
      <c r="T181" s="2"/>
      <c r="U181" s="2"/>
      <c r="V181" s="2"/>
      <c r="W181" s="2"/>
      <c r="X181" s="2"/>
      <c r="Y181" s="2"/>
      <c r="Z181" s="2"/>
    </row>
    <row r="182" ht="15.75" customHeight="1">
      <c r="A182" s="3" t="s">
        <v>998</v>
      </c>
      <c r="B182" s="3" t="s">
        <v>954</v>
      </c>
      <c r="C182" s="3" t="s">
        <v>530</v>
      </c>
      <c r="D182" s="3" t="s">
        <v>47</v>
      </c>
      <c r="E182" s="3" t="s">
        <v>999</v>
      </c>
      <c r="F182" s="9" t="s">
        <v>927</v>
      </c>
      <c r="G182" s="2"/>
      <c r="H182" s="3" t="s">
        <v>1000</v>
      </c>
      <c r="I182" s="3" t="s">
        <v>930</v>
      </c>
      <c r="J182" s="3" t="s">
        <v>931</v>
      </c>
      <c r="K182" s="9" t="s">
        <v>932</v>
      </c>
      <c r="L182" s="2"/>
      <c r="M182" s="2"/>
      <c r="N182" s="2"/>
      <c r="O182" s="2"/>
      <c r="P182" s="2"/>
      <c r="Q182" s="2"/>
      <c r="R182" s="2"/>
      <c r="S182" s="2"/>
      <c r="T182" s="2"/>
      <c r="U182" s="2"/>
      <c r="V182" s="2"/>
      <c r="W182" s="2"/>
      <c r="X182" s="2"/>
      <c r="Y182" s="2"/>
      <c r="Z182" s="2"/>
    </row>
    <row r="183" ht="15.75" customHeight="1">
      <c r="A183" s="3" t="s">
        <v>1001</v>
      </c>
      <c r="B183" s="3" t="s">
        <v>891</v>
      </c>
      <c r="C183" s="3" t="s">
        <v>1002</v>
      </c>
      <c r="D183" s="3" t="s">
        <v>20</v>
      </c>
      <c r="E183" s="3" t="s">
        <v>979</v>
      </c>
      <c r="F183" s="3" t="s">
        <v>927</v>
      </c>
      <c r="G183" s="9" t="s">
        <v>1003</v>
      </c>
      <c r="H183" s="2"/>
      <c r="I183" s="3" t="s">
        <v>930</v>
      </c>
      <c r="J183" s="3" t="s">
        <v>931</v>
      </c>
      <c r="K183" s="3" t="s">
        <v>932</v>
      </c>
      <c r="L183" s="9" t="s">
        <v>1004</v>
      </c>
      <c r="M183" s="2"/>
      <c r="N183" s="2"/>
      <c r="O183" s="2"/>
      <c r="P183" s="2"/>
      <c r="Q183" s="2"/>
      <c r="R183" s="2"/>
      <c r="S183" s="2"/>
      <c r="T183" s="2"/>
      <c r="U183" s="2"/>
      <c r="V183" s="2"/>
      <c r="W183" s="2"/>
      <c r="X183" s="2"/>
      <c r="Y183" s="2"/>
      <c r="Z183" s="2"/>
    </row>
    <row r="184" ht="15.75" customHeight="1">
      <c r="A184" s="3" t="s">
        <v>1005</v>
      </c>
      <c r="B184" s="3" t="s">
        <v>891</v>
      </c>
      <c r="C184" s="3" t="s">
        <v>530</v>
      </c>
      <c r="D184" s="3" t="s">
        <v>948</v>
      </c>
      <c r="E184" s="3" t="s">
        <v>1006</v>
      </c>
      <c r="F184" s="3" t="s">
        <v>1007</v>
      </c>
      <c r="G184" s="3" t="s">
        <v>1008</v>
      </c>
      <c r="H184" s="3" t="s">
        <v>1009</v>
      </c>
      <c r="I184" s="3" t="s">
        <v>1010</v>
      </c>
      <c r="J184" s="9" t="s">
        <v>1011</v>
      </c>
      <c r="K184" s="2"/>
      <c r="L184" s="3" t="s">
        <v>1012</v>
      </c>
      <c r="M184" s="6" t="s">
        <v>1013</v>
      </c>
      <c r="N184" s="2"/>
      <c r="O184" s="2"/>
      <c r="P184" s="2"/>
      <c r="Q184" s="2"/>
      <c r="R184" s="2"/>
      <c r="S184" s="2"/>
      <c r="T184" s="2"/>
      <c r="U184" s="2"/>
      <c r="V184" s="2"/>
      <c r="W184" s="2"/>
      <c r="X184" s="2"/>
      <c r="Y184" s="2"/>
      <c r="Z184" s="2"/>
    </row>
    <row r="185" ht="15.75" customHeight="1">
      <c r="A185" s="3" t="s">
        <v>1014</v>
      </c>
      <c r="B185" s="3" t="s">
        <v>1015</v>
      </c>
      <c r="C185" s="3" t="s">
        <v>530</v>
      </c>
      <c r="D185" s="3" t="s">
        <v>268</v>
      </c>
      <c r="E185" s="3" t="s">
        <v>1016</v>
      </c>
      <c r="F185" s="3" t="s">
        <v>1007</v>
      </c>
      <c r="G185" s="3" t="s">
        <v>1017</v>
      </c>
      <c r="H185" s="3" t="s">
        <v>1018</v>
      </c>
      <c r="I185" s="3" t="s">
        <v>1010</v>
      </c>
      <c r="J185" s="9" t="s">
        <v>1011</v>
      </c>
      <c r="K185" s="2"/>
      <c r="L185" s="2"/>
      <c r="M185" s="6" t="s">
        <v>1013</v>
      </c>
      <c r="N185" s="2"/>
      <c r="O185" s="2"/>
      <c r="P185" s="2"/>
      <c r="Q185" s="2"/>
      <c r="R185" s="2"/>
      <c r="S185" s="2"/>
      <c r="T185" s="2"/>
      <c r="U185" s="2"/>
      <c r="V185" s="2"/>
      <c r="W185" s="2"/>
      <c r="X185" s="2"/>
      <c r="Y185" s="2"/>
      <c r="Z185" s="2"/>
    </row>
    <row r="186" ht="15.75" customHeight="1">
      <c r="A186" s="3" t="s">
        <v>1019</v>
      </c>
      <c r="B186" s="3" t="s">
        <v>446</v>
      </c>
      <c r="C186" s="3" t="s">
        <v>530</v>
      </c>
      <c r="D186" s="3" t="s">
        <v>1020</v>
      </c>
      <c r="E186" s="3" t="s">
        <v>1016</v>
      </c>
      <c r="F186" s="3" t="s">
        <v>1007</v>
      </c>
      <c r="G186" s="3" t="s">
        <v>1021</v>
      </c>
      <c r="H186" s="3" t="s">
        <v>1022</v>
      </c>
      <c r="I186" s="3" t="s">
        <v>1010</v>
      </c>
      <c r="J186" s="9" t="s">
        <v>1011</v>
      </c>
      <c r="K186" s="2"/>
      <c r="L186" s="2"/>
      <c r="M186" s="6" t="s">
        <v>1013</v>
      </c>
      <c r="N186" s="2"/>
      <c r="O186" s="2"/>
      <c r="P186" s="2"/>
      <c r="Q186" s="2"/>
      <c r="R186" s="2"/>
      <c r="S186" s="2"/>
      <c r="T186" s="2"/>
      <c r="U186" s="2"/>
      <c r="V186" s="2"/>
      <c r="W186" s="2"/>
      <c r="X186" s="2"/>
      <c r="Y186" s="2"/>
      <c r="Z186" s="2"/>
    </row>
    <row r="187" ht="15.75" customHeight="1">
      <c r="A187" s="3" t="s">
        <v>1023</v>
      </c>
      <c r="B187" s="3" t="s">
        <v>891</v>
      </c>
      <c r="C187" s="3" t="s">
        <v>530</v>
      </c>
      <c r="D187" s="3" t="s">
        <v>47</v>
      </c>
      <c r="E187" s="3" t="s">
        <v>1024</v>
      </c>
      <c r="F187" s="3" t="s">
        <v>1007</v>
      </c>
      <c r="G187" s="3" t="s">
        <v>1025</v>
      </c>
      <c r="H187" s="3" t="s">
        <v>1026</v>
      </c>
      <c r="I187" s="3" t="s">
        <v>1010</v>
      </c>
      <c r="J187" s="9" t="s">
        <v>1011</v>
      </c>
      <c r="K187" s="2"/>
      <c r="L187" s="3" t="s">
        <v>1027</v>
      </c>
      <c r="M187" s="6" t="s">
        <v>1013</v>
      </c>
      <c r="N187" s="2"/>
      <c r="O187" s="2"/>
      <c r="P187" s="2"/>
      <c r="Q187" s="2"/>
      <c r="R187" s="2"/>
      <c r="S187" s="2"/>
      <c r="T187" s="2"/>
      <c r="U187" s="2"/>
      <c r="V187" s="2"/>
      <c r="W187" s="2"/>
      <c r="X187" s="2"/>
      <c r="Y187" s="2"/>
      <c r="Z187" s="2"/>
    </row>
    <row r="188" ht="15.75" customHeight="1">
      <c r="A188" s="3" t="s">
        <v>1028</v>
      </c>
      <c r="B188" s="3" t="s">
        <v>310</v>
      </c>
      <c r="C188" s="3" t="s">
        <v>530</v>
      </c>
      <c r="D188" s="3" t="s">
        <v>47</v>
      </c>
      <c r="E188" s="3" t="s">
        <v>1029</v>
      </c>
      <c r="F188" s="3" t="s">
        <v>1007</v>
      </c>
      <c r="G188" s="3" t="s">
        <v>1030</v>
      </c>
      <c r="H188" s="3" t="s">
        <v>1018</v>
      </c>
      <c r="I188" s="3" t="s">
        <v>1010</v>
      </c>
      <c r="J188" s="9" t="s">
        <v>1011</v>
      </c>
      <c r="K188" s="2"/>
      <c r="L188" s="3" t="s">
        <v>1031</v>
      </c>
      <c r="M188" s="6" t="s">
        <v>1013</v>
      </c>
      <c r="N188" s="2"/>
      <c r="O188" s="2"/>
      <c r="P188" s="2"/>
      <c r="Q188" s="2"/>
      <c r="R188" s="2"/>
      <c r="S188" s="2"/>
      <c r="T188" s="2"/>
      <c r="U188" s="2"/>
      <c r="V188" s="2"/>
      <c r="W188" s="2"/>
      <c r="X188" s="2"/>
      <c r="Y188" s="2"/>
      <c r="Z188" s="2"/>
    </row>
    <row r="189" ht="15.75" customHeight="1">
      <c r="A189" s="3" t="s">
        <v>1032</v>
      </c>
      <c r="B189" s="3" t="s">
        <v>891</v>
      </c>
      <c r="C189" s="3" t="s">
        <v>530</v>
      </c>
      <c r="D189" s="3" t="s">
        <v>1033</v>
      </c>
      <c r="E189" s="3" t="s">
        <v>1016</v>
      </c>
      <c r="F189" s="3" t="s">
        <v>1007</v>
      </c>
      <c r="G189" s="3" t="s">
        <v>1034</v>
      </c>
      <c r="H189" s="3" t="s">
        <v>1035</v>
      </c>
      <c r="I189" s="3" t="s">
        <v>1010</v>
      </c>
      <c r="J189" s="9" t="s">
        <v>1011</v>
      </c>
      <c r="K189" s="2"/>
      <c r="L189" s="3" t="s">
        <v>1036</v>
      </c>
      <c r="M189" s="6" t="s">
        <v>1013</v>
      </c>
      <c r="N189" s="2"/>
      <c r="O189" s="2"/>
      <c r="P189" s="2"/>
      <c r="Q189" s="2"/>
      <c r="R189" s="2"/>
      <c r="S189" s="2"/>
      <c r="T189" s="2"/>
      <c r="U189" s="2"/>
      <c r="V189" s="2"/>
      <c r="W189" s="2"/>
      <c r="X189" s="2"/>
      <c r="Y189" s="2"/>
      <c r="Z189" s="2"/>
    </row>
    <row r="190" ht="15.75" customHeight="1">
      <c r="A190" s="3" t="s">
        <v>1037</v>
      </c>
      <c r="B190" s="3" t="s">
        <v>310</v>
      </c>
      <c r="C190" s="3" t="s">
        <v>530</v>
      </c>
      <c r="D190" s="3" t="s">
        <v>20</v>
      </c>
      <c r="E190" s="3" t="s">
        <v>1029</v>
      </c>
      <c r="F190" s="3" t="s">
        <v>1007</v>
      </c>
      <c r="G190" s="3" t="s">
        <v>1038</v>
      </c>
      <c r="H190" s="3" t="s">
        <v>1039</v>
      </c>
      <c r="I190" s="3" t="s">
        <v>1010</v>
      </c>
      <c r="J190" s="9" t="s">
        <v>1011</v>
      </c>
      <c r="K190" s="2"/>
      <c r="L190" s="2"/>
      <c r="M190" s="6" t="s">
        <v>1013</v>
      </c>
      <c r="N190" s="2"/>
      <c r="O190" s="2"/>
      <c r="P190" s="2"/>
      <c r="Q190" s="2"/>
      <c r="R190" s="2"/>
      <c r="S190" s="2"/>
      <c r="T190" s="2"/>
      <c r="U190" s="2"/>
      <c r="V190" s="2"/>
      <c r="W190" s="2"/>
      <c r="X190" s="2"/>
      <c r="Y190" s="2"/>
      <c r="Z190" s="2"/>
    </row>
    <row r="191" ht="15.75" customHeight="1">
      <c r="A191" s="3" t="s">
        <v>1040</v>
      </c>
      <c r="B191" s="3" t="s">
        <v>891</v>
      </c>
      <c r="C191" s="3" t="s">
        <v>530</v>
      </c>
      <c r="D191" s="3" t="s">
        <v>88</v>
      </c>
      <c r="E191" s="3" t="s">
        <v>1024</v>
      </c>
      <c r="F191" s="3" t="s">
        <v>1007</v>
      </c>
      <c r="G191" s="3" t="s">
        <v>1041</v>
      </c>
      <c r="H191" s="3" t="s">
        <v>1026</v>
      </c>
      <c r="I191" s="3" t="s">
        <v>1010</v>
      </c>
      <c r="J191" s="9" t="s">
        <v>1011</v>
      </c>
      <c r="K191" s="2"/>
      <c r="L191" s="2"/>
      <c r="M191" s="6" t="s">
        <v>1013</v>
      </c>
      <c r="N191" s="2"/>
      <c r="O191" s="2"/>
      <c r="P191" s="2"/>
      <c r="Q191" s="2"/>
      <c r="R191" s="2"/>
      <c r="S191" s="2"/>
      <c r="T191" s="2"/>
      <c r="U191" s="2"/>
      <c r="V191" s="2"/>
      <c r="W191" s="2"/>
      <c r="X191" s="2"/>
      <c r="Y191" s="2"/>
      <c r="Z191" s="2"/>
    </row>
    <row r="192" ht="15.75" customHeight="1">
      <c r="A192" s="3" t="s">
        <v>1042</v>
      </c>
      <c r="B192" s="3" t="s">
        <v>1043</v>
      </c>
      <c r="C192" s="3" t="s">
        <v>530</v>
      </c>
      <c r="D192" s="3" t="s">
        <v>88</v>
      </c>
      <c r="E192" s="3" t="s">
        <v>807</v>
      </c>
      <c r="F192" s="3" t="s">
        <v>1007</v>
      </c>
      <c r="G192" s="3" t="s">
        <v>1044</v>
      </c>
      <c r="H192" s="3" t="s">
        <v>1045</v>
      </c>
      <c r="I192" s="3" t="s">
        <v>1010</v>
      </c>
      <c r="J192" s="9" t="s">
        <v>1011</v>
      </c>
      <c r="K192" s="2"/>
      <c r="L192" s="2"/>
      <c r="M192" s="6" t="s">
        <v>1013</v>
      </c>
      <c r="N192" s="2"/>
      <c r="O192" s="2"/>
      <c r="P192" s="2"/>
      <c r="Q192" s="2"/>
      <c r="R192" s="2"/>
      <c r="S192" s="2"/>
      <c r="T192" s="2"/>
      <c r="U192" s="2"/>
      <c r="V192" s="2"/>
      <c r="W192" s="2"/>
      <c r="X192" s="2"/>
      <c r="Y192" s="2"/>
      <c r="Z192" s="2"/>
    </row>
    <row r="193" ht="15.75" customHeight="1">
      <c r="A193" s="3" t="s">
        <v>1046</v>
      </c>
      <c r="B193" s="3" t="s">
        <v>891</v>
      </c>
      <c r="C193" s="3" t="s">
        <v>530</v>
      </c>
      <c r="D193" s="3" t="s">
        <v>298</v>
      </c>
      <c r="E193" s="3" t="s">
        <v>1047</v>
      </c>
      <c r="F193" s="3" t="s">
        <v>1007</v>
      </c>
      <c r="G193" s="3" t="s">
        <v>1008</v>
      </c>
      <c r="H193" s="3" t="s">
        <v>1009</v>
      </c>
      <c r="I193" s="3" t="s">
        <v>1010</v>
      </c>
      <c r="J193" s="9" t="s">
        <v>1011</v>
      </c>
      <c r="K193" s="2"/>
      <c r="L193" s="3" t="s">
        <v>1048</v>
      </c>
      <c r="M193" s="6" t="s">
        <v>1013</v>
      </c>
      <c r="N193" s="2"/>
      <c r="O193" s="2"/>
      <c r="P193" s="2"/>
      <c r="Q193" s="2"/>
      <c r="R193" s="2"/>
      <c r="S193" s="2"/>
      <c r="T193" s="2"/>
      <c r="U193" s="2"/>
      <c r="V193" s="2"/>
      <c r="W193" s="2"/>
      <c r="X193" s="2"/>
      <c r="Y193" s="2"/>
      <c r="Z193" s="2"/>
    </row>
    <row r="194" ht="15.75" customHeight="1">
      <c r="A194" s="3" t="s">
        <v>1049</v>
      </c>
      <c r="B194" s="3" t="s">
        <v>310</v>
      </c>
      <c r="C194" s="3" t="s">
        <v>530</v>
      </c>
      <c r="D194" s="3" t="s">
        <v>298</v>
      </c>
      <c r="E194" s="3" t="s">
        <v>1029</v>
      </c>
      <c r="F194" s="3" t="s">
        <v>1007</v>
      </c>
      <c r="G194" s="3" t="s">
        <v>1050</v>
      </c>
      <c r="H194" s="3" t="s">
        <v>1051</v>
      </c>
      <c r="I194" s="3" t="s">
        <v>1010</v>
      </c>
      <c r="J194" s="9" t="s">
        <v>1011</v>
      </c>
      <c r="K194" s="2"/>
      <c r="L194" s="3" t="s">
        <v>1052</v>
      </c>
      <c r="M194" s="6" t="s">
        <v>1013</v>
      </c>
      <c r="N194" s="2"/>
      <c r="O194" s="2"/>
      <c r="P194" s="2"/>
      <c r="Q194" s="2"/>
      <c r="R194" s="2"/>
      <c r="S194" s="2"/>
      <c r="T194" s="2"/>
      <c r="U194" s="2"/>
      <c r="V194" s="2"/>
      <c r="W194" s="2"/>
      <c r="X194" s="2"/>
      <c r="Y194" s="2"/>
      <c r="Z194" s="2"/>
    </row>
    <row r="195" ht="15.75" customHeight="1">
      <c r="A195" s="3" t="s">
        <v>1053</v>
      </c>
      <c r="B195" s="3" t="s">
        <v>891</v>
      </c>
      <c r="C195" s="3" t="s">
        <v>530</v>
      </c>
      <c r="D195" s="3" t="s">
        <v>119</v>
      </c>
      <c r="E195" s="3" t="s">
        <v>1047</v>
      </c>
      <c r="F195" s="3" t="s">
        <v>1007</v>
      </c>
      <c r="G195" s="3" t="s">
        <v>1054</v>
      </c>
      <c r="H195" s="3" t="s">
        <v>1026</v>
      </c>
      <c r="I195" s="3" t="s">
        <v>1010</v>
      </c>
      <c r="J195" s="9" t="s">
        <v>1011</v>
      </c>
      <c r="K195" s="2"/>
      <c r="L195" s="3" t="s">
        <v>1055</v>
      </c>
      <c r="M195" s="6" t="s">
        <v>1013</v>
      </c>
      <c r="N195" s="2"/>
      <c r="O195" s="2"/>
      <c r="P195" s="2"/>
      <c r="Q195" s="2"/>
      <c r="R195" s="2"/>
      <c r="S195" s="2"/>
      <c r="T195" s="2"/>
      <c r="U195" s="2"/>
      <c r="V195" s="2"/>
      <c r="W195" s="2"/>
      <c r="X195" s="2"/>
      <c r="Y195" s="2"/>
      <c r="Z195" s="2"/>
    </row>
    <row r="196" ht="15.75" customHeight="1">
      <c r="A196" s="3" t="s">
        <v>1056</v>
      </c>
      <c r="B196" s="3" t="s">
        <v>983</v>
      </c>
      <c r="C196" s="3" t="s">
        <v>530</v>
      </c>
      <c r="D196" s="3" t="s">
        <v>298</v>
      </c>
      <c r="E196" s="3" t="s">
        <v>984</v>
      </c>
      <c r="F196" s="3" t="s">
        <v>1007</v>
      </c>
      <c r="G196" s="3" t="s">
        <v>1057</v>
      </c>
      <c r="H196" s="3" t="s">
        <v>985</v>
      </c>
      <c r="I196" s="3" t="s">
        <v>1010</v>
      </c>
      <c r="J196" s="9" t="s">
        <v>1011</v>
      </c>
      <c r="K196" s="2"/>
      <c r="L196" s="2"/>
      <c r="M196" s="6" t="s">
        <v>1013</v>
      </c>
      <c r="N196" s="2"/>
      <c r="O196" s="2"/>
      <c r="P196" s="2"/>
      <c r="Q196" s="2"/>
      <c r="R196" s="2"/>
      <c r="S196" s="2"/>
      <c r="T196" s="2"/>
      <c r="U196" s="2"/>
      <c r="V196" s="2"/>
      <c r="W196" s="2"/>
      <c r="X196" s="2"/>
      <c r="Y196" s="2"/>
      <c r="Z196" s="2"/>
    </row>
    <row r="197" ht="15.75" customHeight="1">
      <c r="A197" s="3" t="s">
        <v>1058</v>
      </c>
      <c r="B197" s="3" t="s">
        <v>891</v>
      </c>
      <c r="C197" s="3" t="s">
        <v>530</v>
      </c>
      <c r="D197" s="3" t="s">
        <v>268</v>
      </c>
      <c r="E197" s="3" t="s">
        <v>1059</v>
      </c>
      <c r="F197" s="3" t="s">
        <v>1060</v>
      </c>
      <c r="G197" s="3" t="s">
        <v>1061</v>
      </c>
      <c r="H197" s="3" t="s">
        <v>1062</v>
      </c>
      <c r="I197" s="10">
        <v>4.132623799E9</v>
      </c>
      <c r="J197" s="9" t="s">
        <v>1063</v>
      </c>
      <c r="K197" s="2"/>
      <c r="L197" s="9" t="s">
        <v>1064</v>
      </c>
      <c r="M197" s="2"/>
      <c r="N197" s="2"/>
      <c r="O197" s="2"/>
      <c r="P197" s="2"/>
      <c r="Q197" s="2"/>
      <c r="R197" s="2"/>
      <c r="S197" s="2"/>
      <c r="T197" s="2"/>
      <c r="U197" s="2"/>
      <c r="V197" s="2"/>
      <c r="W197" s="2"/>
      <c r="X197" s="2"/>
      <c r="Y197" s="2"/>
      <c r="Z197" s="2"/>
    </row>
    <row r="198" ht="15.75" customHeight="1">
      <c r="A198" s="3" t="s">
        <v>1005</v>
      </c>
      <c r="B198" s="3" t="s">
        <v>891</v>
      </c>
      <c r="C198" s="3" t="s">
        <v>530</v>
      </c>
      <c r="D198" s="3" t="s">
        <v>943</v>
      </c>
      <c r="E198" s="3" t="s">
        <v>1024</v>
      </c>
      <c r="F198" s="3" t="s">
        <v>1007</v>
      </c>
      <c r="G198" s="3" t="s">
        <v>1008</v>
      </c>
      <c r="H198" s="3" t="s">
        <v>1009</v>
      </c>
      <c r="I198" s="3" t="s">
        <v>1010</v>
      </c>
      <c r="J198" s="9" t="s">
        <v>1011</v>
      </c>
      <c r="K198" s="2"/>
      <c r="L198" s="9" t="s">
        <v>1012</v>
      </c>
      <c r="M198" s="2"/>
      <c r="N198" s="2"/>
      <c r="O198" s="2"/>
      <c r="P198" s="2"/>
      <c r="Q198" s="2"/>
      <c r="R198" s="2"/>
      <c r="S198" s="2"/>
      <c r="T198" s="2"/>
      <c r="U198" s="2"/>
      <c r="V198" s="2"/>
      <c r="W198" s="2"/>
      <c r="X198" s="2"/>
      <c r="Y198" s="2"/>
      <c r="Z198" s="2"/>
    </row>
    <row r="199" ht="15.75" customHeight="1">
      <c r="A199" s="3" t="s">
        <v>1065</v>
      </c>
      <c r="B199" s="3" t="s">
        <v>1066</v>
      </c>
      <c r="C199" s="3" t="s">
        <v>530</v>
      </c>
      <c r="D199" s="3" t="s">
        <v>1067</v>
      </c>
      <c r="E199" s="3" t="s">
        <v>1016</v>
      </c>
      <c r="F199" s="3" t="s">
        <v>204</v>
      </c>
      <c r="G199" s="3" t="s">
        <v>1068</v>
      </c>
      <c r="H199" s="3" t="s">
        <v>1069</v>
      </c>
      <c r="I199" s="3" t="s">
        <v>1070</v>
      </c>
      <c r="J199" s="3" t="s">
        <v>1071</v>
      </c>
      <c r="K199" s="3" t="s">
        <v>209</v>
      </c>
      <c r="L199" s="2"/>
      <c r="M199" s="2"/>
      <c r="N199" s="2"/>
      <c r="O199" s="2"/>
      <c r="P199" s="2"/>
      <c r="Q199" s="2"/>
      <c r="R199" s="2"/>
      <c r="S199" s="2"/>
      <c r="T199" s="2"/>
      <c r="U199" s="2"/>
      <c r="V199" s="2"/>
      <c r="W199" s="2"/>
      <c r="X199" s="2"/>
      <c r="Y199" s="2"/>
      <c r="Z199" s="2"/>
    </row>
    <row r="200" ht="15.75" customHeight="1">
      <c r="A200" s="3" t="s">
        <v>1072</v>
      </c>
      <c r="B200" s="3" t="s">
        <v>1066</v>
      </c>
      <c r="C200" s="3" t="s">
        <v>530</v>
      </c>
      <c r="D200" s="3" t="s">
        <v>1073</v>
      </c>
      <c r="E200" s="3" t="s">
        <v>1016</v>
      </c>
      <c r="F200" s="3" t="s">
        <v>204</v>
      </c>
      <c r="G200" s="3" t="s">
        <v>1068</v>
      </c>
      <c r="H200" s="3" t="s">
        <v>1074</v>
      </c>
      <c r="I200" s="3" t="s">
        <v>1070</v>
      </c>
      <c r="J200" s="3" t="s">
        <v>1071</v>
      </c>
      <c r="K200" s="3" t="s">
        <v>209</v>
      </c>
      <c r="L200" s="2"/>
      <c r="M200" s="2"/>
      <c r="N200" s="2"/>
      <c r="O200" s="2"/>
      <c r="P200" s="2"/>
      <c r="Q200" s="2"/>
      <c r="R200" s="2"/>
      <c r="S200" s="2"/>
      <c r="T200" s="2"/>
      <c r="U200" s="2"/>
      <c r="V200" s="2"/>
      <c r="W200" s="2"/>
      <c r="X200" s="2"/>
      <c r="Y200" s="2"/>
      <c r="Z200" s="2"/>
    </row>
    <row r="201" ht="15.75" customHeight="1">
      <c r="A201" s="3" t="s">
        <v>1075</v>
      </c>
      <c r="B201" s="3" t="s">
        <v>1066</v>
      </c>
      <c r="C201" s="3" t="s">
        <v>530</v>
      </c>
      <c r="D201" s="3" t="s">
        <v>47</v>
      </c>
      <c r="E201" s="3" t="s">
        <v>1076</v>
      </c>
      <c r="F201" s="3" t="s">
        <v>204</v>
      </c>
      <c r="G201" s="3" t="s">
        <v>1068</v>
      </c>
      <c r="H201" s="3" t="s">
        <v>1077</v>
      </c>
      <c r="I201" s="3" t="s">
        <v>1070</v>
      </c>
      <c r="J201" s="3" t="s">
        <v>1071</v>
      </c>
      <c r="K201" s="3" t="s">
        <v>209</v>
      </c>
      <c r="L201" s="2"/>
      <c r="M201" s="2"/>
      <c r="N201" s="2"/>
      <c r="O201" s="2"/>
      <c r="P201" s="2"/>
      <c r="Q201" s="2"/>
      <c r="R201" s="2"/>
      <c r="S201" s="2"/>
      <c r="T201" s="2"/>
      <c r="U201" s="2"/>
      <c r="V201" s="2"/>
      <c r="W201" s="2"/>
      <c r="X201" s="2"/>
      <c r="Y201" s="2"/>
      <c r="Z201" s="2"/>
    </row>
    <row r="202" ht="15.75" customHeight="1">
      <c r="A202" s="3" t="s">
        <v>1078</v>
      </c>
      <c r="B202" s="3" t="s">
        <v>806</v>
      </c>
      <c r="C202" s="3" t="s">
        <v>530</v>
      </c>
      <c r="D202" s="3" t="s">
        <v>20</v>
      </c>
      <c r="E202" s="3" t="s">
        <v>1079</v>
      </c>
      <c r="F202" s="3" t="s">
        <v>204</v>
      </c>
      <c r="G202" s="3" t="s">
        <v>1068</v>
      </c>
      <c r="H202" s="3" t="s">
        <v>1080</v>
      </c>
      <c r="I202" s="3" t="s">
        <v>1070</v>
      </c>
      <c r="J202" s="3" t="s">
        <v>1071</v>
      </c>
      <c r="K202" s="3" t="s">
        <v>209</v>
      </c>
      <c r="L202" s="2"/>
      <c r="M202" s="2"/>
      <c r="N202" s="2"/>
      <c r="O202" s="2"/>
      <c r="P202" s="2"/>
      <c r="Q202" s="2"/>
      <c r="R202" s="2"/>
      <c r="S202" s="2"/>
      <c r="T202" s="2"/>
      <c r="U202" s="2"/>
      <c r="V202" s="2"/>
      <c r="W202" s="2"/>
      <c r="X202" s="2"/>
      <c r="Y202" s="2"/>
      <c r="Z202" s="2"/>
    </row>
    <row r="203" ht="15.75" customHeight="1">
      <c r="A203" s="3" t="s">
        <v>1081</v>
      </c>
      <c r="B203" s="3" t="s">
        <v>1066</v>
      </c>
      <c r="C203" s="3" t="s">
        <v>530</v>
      </c>
      <c r="D203" s="3" t="s">
        <v>88</v>
      </c>
      <c r="E203" s="3" t="s">
        <v>1079</v>
      </c>
      <c r="F203" s="3" t="s">
        <v>204</v>
      </c>
      <c r="G203" s="3" t="s">
        <v>1068</v>
      </c>
      <c r="H203" s="3" t="s">
        <v>1082</v>
      </c>
      <c r="I203" s="3" t="s">
        <v>1070</v>
      </c>
      <c r="J203" s="3" t="s">
        <v>1071</v>
      </c>
      <c r="K203" s="3" t="s">
        <v>209</v>
      </c>
      <c r="L203" s="2"/>
      <c r="M203" s="2"/>
      <c r="N203" s="2"/>
      <c r="O203" s="2"/>
      <c r="P203" s="2"/>
      <c r="Q203" s="2"/>
      <c r="R203" s="2"/>
      <c r="S203" s="2"/>
      <c r="T203" s="2"/>
      <c r="U203" s="2"/>
      <c r="V203" s="2"/>
      <c r="W203" s="2"/>
      <c r="X203" s="2"/>
      <c r="Y203" s="2"/>
      <c r="Z203" s="2"/>
    </row>
    <row r="204" ht="15.75" customHeight="1">
      <c r="A204" s="3" t="s">
        <v>1083</v>
      </c>
      <c r="B204" s="3" t="s">
        <v>1084</v>
      </c>
      <c r="C204" s="3" t="s">
        <v>530</v>
      </c>
      <c r="D204" s="3" t="s">
        <v>1085</v>
      </c>
      <c r="E204" s="3" t="s">
        <v>1086</v>
      </c>
      <c r="F204" s="3" t="s">
        <v>204</v>
      </c>
      <c r="G204" s="3" t="s">
        <v>1087</v>
      </c>
      <c r="H204" s="3" t="s">
        <v>1082</v>
      </c>
      <c r="I204" s="3" t="s">
        <v>1070</v>
      </c>
      <c r="J204" s="9" t="s">
        <v>1071</v>
      </c>
      <c r="K204" s="2"/>
      <c r="L204" s="9" t="s">
        <v>1088</v>
      </c>
      <c r="M204" s="2"/>
      <c r="N204" s="2"/>
      <c r="O204" s="2"/>
      <c r="P204" s="2"/>
      <c r="Q204" s="2"/>
      <c r="R204" s="2"/>
      <c r="S204" s="2"/>
      <c r="T204" s="2"/>
      <c r="U204" s="2"/>
      <c r="V204" s="2"/>
      <c r="W204" s="2"/>
      <c r="X204" s="2"/>
      <c r="Y204" s="2"/>
      <c r="Z204" s="2"/>
    </row>
    <row r="205" ht="15.75" customHeight="1">
      <c r="A205" s="3" t="s">
        <v>1089</v>
      </c>
      <c r="B205" s="3" t="s">
        <v>1084</v>
      </c>
      <c r="C205" s="3" t="s">
        <v>1090</v>
      </c>
      <c r="D205" s="3" t="s">
        <v>1091</v>
      </c>
      <c r="E205" s="3" t="s">
        <v>1092</v>
      </c>
      <c r="F205" s="9" t="s">
        <v>204</v>
      </c>
      <c r="G205" s="2"/>
      <c r="H205" s="3" t="s">
        <v>1093</v>
      </c>
      <c r="I205" s="3" t="s">
        <v>1070</v>
      </c>
      <c r="J205" s="9" t="s">
        <v>1071</v>
      </c>
      <c r="K205" s="2"/>
      <c r="L205" s="2"/>
      <c r="M205" s="2"/>
      <c r="N205" s="2"/>
      <c r="O205" s="2"/>
      <c r="P205" s="2"/>
      <c r="Q205" s="2"/>
      <c r="R205" s="2"/>
      <c r="S205" s="2"/>
      <c r="T205" s="2"/>
      <c r="U205" s="2"/>
      <c r="V205" s="2"/>
      <c r="W205" s="2"/>
      <c r="X205" s="2"/>
      <c r="Y205" s="2"/>
      <c r="Z205" s="2"/>
    </row>
    <row r="206" ht="15.75" customHeight="1">
      <c r="A206" s="3" t="s">
        <v>1094</v>
      </c>
      <c r="B206" s="3" t="s">
        <v>1095</v>
      </c>
      <c r="C206" s="3" t="s">
        <v>1096</v>
      </c>
      <c r="D206" s="3" t="s">
        <v>763</v>
      </c>
      <c r="E206" s="3" t="s">
        <v>1097</v>
      </c>
      <c r="F206" s="3" t="s">
        <v>204</v>
      </c>
      <c r="G206" s="3" t="s">
        <v>1098</v>
      </c>
      <c r="H206" s="3" t="s">
        <v>1099</v>
      </c>
      <c r="I206" s="3" t="s">
        <v>1070</v>
      </c>
      <c r="J206" s="9" t="s">
        <v>1071</v>
      </c>
      <c r="K206" s="2"/>
      <c r="L206" s="2"/>
      <c r="M206" s="2"/>
      <c r="N206" s="2"/>
      <c r="O206" s="2"/>
      <c r="P206" s="2"/>
      <c r="Q206" s="2"/>
      <c r="R206" s="2"/>
      <c r="S206" s="2"/>
      <c r="T206" s="2"/>
      <c r="U206" s="2"/>
      <c r="V206" s="2"/>
      <c r="W206" s="2"/>
      <c r="X206" s="2"/>
      <c r="Y206" s="2"/>
      <c r="Z206" s="2"/>
    </row>
    <row r="207" ht="15.75" customHeight="1">
      <c r="A207" s="3" t="s">
        <v>1100</v>
      </c>
      <c r="B207" s="3" t="s">
        <v>1095</v>
      </c>
      <c r="C207" s="3" t="s">
        <v>1101</v>
      </c>
      <c r="D207" s="3" t="s">
        <v>1091</v>
      </c>
      <c r="E207" s="3" t="s">
        <v>1097</v>
      </c>
      <c r="F207" s="3" t="s">
        <v>204</v>
      </c>
      <c r="G207" s="3" t="s">
        <v>1102</v>
      </c>
      <c r="H207" s="3" t="s">
        <v>1099</v>
      </c>
      <c r="I207" s="3" t="s">
        <v>1070</v>
      </c>
      <c r="J207" s="9" t="s">
        <v>1071</v>
      </c>
      <c r="K207" s="2"/>
      <c r="L207" s="2"/>
      <c r="M207" s="2"/>
      <c r="N207" s="2"/>
      <c r="O207" s="2"/>
      <c r="P207" s="2"/>
      <c r="Q207" s="2"/>
      <c r="R207" s="2"/>
      <c r="S207" s="2"/>
      <c r="T207" s="2"/>
      <c r="U207" s="2"/>
      <c r="V207" s="2"/>
      <c r="W207" s="2"/>
      <c r="X207" s="2"/>
      <c r="Y207" s="2"/>
      <c r="Z207" s="2"/>
    </row>
    <row r="208" ht="15.75" customHeight="1">
      <c r="A208" s="3" t="s">
        <v>1103</v>
      </c>
      <c r="B208" s="3" t="s">
        <v>1084</v>
      </c>
      <c r="C208" s="3" t="s">
        <v>1104</v>
      </c>
      <c r="D208" s="3" t="s">
        <v>20</v>
      </c>
      <c r="E208" s="3" t="s">
        <v>1105</v>
      </c>
      <c r="F208" s="9" t="s">
        <v>204</v>
      </c>
      <c r="G208" s="2"/>
      <c r="H208" s="3" t="s">
        <v>1106</v>
      </c>
      <c r="I208" s="3" t="s">
        <v>1070</v>
      </c>
      <c r="J208" s="9" t="s">
        <v>1071</v>
      </c>
      <c r="K208" s="2"/>
      <c r="L208" s="9" t="s">
        <v>1107</v>
      </c>
      <c r="M208" s="2"/>
      <c r="N208" s="2"/>
      <c r="O208" s="2"/>
      <c r="P208" s="2"/>
      <c r="Q208" s="2"/>
      <c r="R208" s="2"/>
      <c r="S208" s="2"/>
      <c r="T208" s="2"/>
      <c r="U208" s="2"/>
      <c r="V208" s="2"/>
      <c r="W208" s="2"/>
      <c r="X208" s="2"/>
      <c r="Y208" s="2"/>
      <c r="Z208" s="2"/>
    </row>
    <row r="209" ht="15.75" customHeight="1">
      <c r="A209" s="3" t="s">
        <v>1108</v>
      </c>
      <c r="B209" s="3" t="s">
        <v>789</v>
      </c>
      <c r="C209" s="3" t="s">
        <v>467</v>
      </c>
      <c r="D209" s="3" t="s">
        <v>298</v>
      </c>
      <c r="E209" s="3" t="s">
        <v>1109</v>
      </c>
      <c r="F209" s="3" t="s">
        <v>850</v>
      </c>
      <c r="G209" s="3" t="s">
        <v>1110</v>
      </c>
      <c r="H209" s="3" t="s">
        <v>852</v>
      </c>
      <c r="I209" s="3" t="s">
        <v>853</v>
      </c>
      <c r="J209" s="2"/>
      <c r="K209" s="3" t="s">
        <v>209</v>
      </c>
      <c r="L209" s="9" t="s">
        <v>1111</v>
      </c>
      <c r="M209" s="2"/>
      <c r="N209" s="2"/>
      <c r="O209" s="2"/>
      <c r="P209" s="2"/>
      <c r="Q209" s="2"/>
      <c r="R209" s="2"/>
      <c r="S209" s="2"/>
      <c r="T209" s="2"/>
      <c r="U209" s="2"/>
      <c r="V209" s="2"/>
      <c r="W209" s="2"/>
      <c r="X209" s="2"/>
      <c r="Y209" s="2"/>
      <c r="Z209" s="2"/>
    </row>
    <row r="210" ht="15.75" customHeight="1">
      <c r="A210" s="3" t="s">
        <v>1112</v>
      </c>
      <c r="B210" s="3" t="s">
        <v>1113</v>
      </c>
      <c r="C210" s="3" t="s">
        <v>467</v>
      </c>
      <c r="D210" s="3" t="s">
        <v>298</v>
      </c>
      <c r="E210" s="3" t="s">
        <v>1114</v>
      </c>
      <c r="F210" s="3" t="s">
        <v>850</v>
      </c>
      <c r="G210" s="3" t="s">
        <v>1115</v>
      </c>
      <c r="H210" s="3" t="s">
        <v>852</v>
      </c>
      <c r="I210" s="3" t="s">
        <v>853</v>
      </c>
      <c r="J210" s="2"/>
      <c r="K210" s="3" t="s">
        <v>209</v>
      </c>
      <c r="L210" s="9" t="s">
        <v>1111</v>
      </c>
      <c r="M210" s="2"/>
      <c r="N210" s="2"/>
      <c r="O210" s="2"/>
      <c r="P210" s="2"/>
      <c r="Q210" s="2"/>
      <c r="R210" s="2"/>
      <c r="S210" s="2"/>
      <c r="T210" s="2"/>
      <c r="U210" s="2"/>
      <c r="V210" s="2"/>
      <c r="W210" s="2"/>
      <c r="X210" s="2"/>
      <c r="Y210" s="2"/>
      <c r="Z210" s="2"/>
    </row>
    <row r="211" ht="15.75" customHeight="1">
      <c r="A211" s="3" t="s">
        <v>1116</v>
      </c>
      <c r="B211" s="3" t="s">
        <v>1117</v>
      </c>
      <c r="C211" s="3" t="s">
        <v>720</v>
      </c>
      <c r="D211" s="33" t="s">
        <v>795</v>
      </c>
      <c r="E211" s="3" t="s">
        <v>1118</v>
      </c>
      <c r="F211" s="9" t="s">
        <v>1119</v>
      </c>
      <c r="G211" s="2"/>
      <c r="H211" s="2"/>
      <c r="I211" s="2"/>
      <c r="J211" s="9" t="s">
        <v>1120</v>
      </c>
      <c r="K211" s="2"/>
      <c r="L211" s="2"/>
      <c r="M211" s="2"/>
      <c r="N211" s="2"/>
      <c r="O211" s="2"/>
      <c r="P211" s="2"/>
      <c r="Q211" s="2"/>
      <c r="R211" s="2"/>
      <c r="S211" s="2"/>
      <c r="T211" s="2"/>
      <c r="U211" s="2"/>
      <c r="V211" s="2"/>
      <c r="W211" s="2"/>
      <c r="X211" s="2"/>
      <c r="Y211" s="2"/>
      <c r="Z211" s="2"/>
    </row>
    <row r="212" ht="15.75" customHeight="1">
      <c r="A212" s="3" t="s">
        <v>1121</v>
      </c>
      <c r="B212" s="3" t="s">
        <v>1117</v>
      </c>
      <c r="C212" s="3" t="s">
        <v>720</v>
      </c>
      <c r="D212" s="33" t="s">
        <v>795</v>
      </c>
      <c r="E212" s="3" t="s">
        <v>1122</v>
      </c>
      <c r="F212" s="9" t="s">
        <v>1119</v>
      </c>
      <c r="G212" s="2"/>
      <c r="H212" s="2"/>
      <c r="I212" s="2"/>
      <c r="J212" s="9" t="s">
        <v>1120</v>
      </c>
      <c r="K212" s="2"/>
      <c r="L212" s="2"/>
      <c r="M212" s="2"/>
      <c r="N212" s="2"/>
      <c r="O212" s="2"/>
      <c r="P212" s="2"/>
      <c r="Q212" s="2"/>
      <c r="R212" s="2"/>
      <c r="S212" s="2"/>
      <c r="T212" s="2"/>
      <c r="U212" s="2"/>
      <c r="V212" s="2"/>
      <c r="W212" s="2"/>
      <c r="X212" s="2"/>
      <c r="Y212" s="2"/>
      <c r="Z212" s="2"/>
    </row>
    <row r="213" ht="15.75" customHeight="1">
      <c r="A213" s="3" t="s">
        <v>1123</v>
      </c>
      <c r="B213" s="3" t="s">
        <v>1117</v>
      </c>
      <c r="C213" s="3" t="s">
        <v>720</v>
      </c>
      <c r="D213" s="33" t="s">
        <v>795</v>
      </c>
      <c r="E213" s="32" t="s">
        <v>1124</v>
      </c>
      <c r="F213" s="9" t="s">
        <v>1119</v>
      </c>
      <c r="G213" s="2"/>
      <c r="H213" s="2"/>
      <c r="I213" s="2"/>
      <c r="J213" s="9" t="s">
        <v>1120</v>
      </c>
      <c r="K213" s="2"/>
      <c r="L213" s="2"/>
      <c r="M213" s="2"/>
      <c r="N213" s="2"/>
      <c r="O213" s="2"/>
      <c r="P213" s="2"/>
      <c r="Q213" s="2"/>
      <c r="R213" s="2"/>
      <c r="S213" s="2"/>
      <c r="T213" s="2"/>
      <c r="U213" s="2"/>
      <c r="V213" s="2"/>
      <c r="W213" s="2"/>
      <c r="X213" s="2"/>
      <c r="Y213" s="2"/>
      <c r="Z213" s="2"/>
    </row>
    <row r="214" ht="15.75" customHeight="1">
      <c r="A214" s="3" t="s">
        <v>619</v>
      </c>
      <c r="B214" s="3" t="s">
        <v>620</v>
      </c>
      <c r="C214" s="3" t="s">
        <v>1125</v>
      </c>
      <c r="D214" s="3" t="s">
        <v>782</v>
      </c>
      <c r="E214" s="32" t="s">
        <v>1126</v>
      </c>
      <c r="F214" s="3" t="s">
        <v>712</v>
      </c>
      <c r="G214" s="3" t="s">
        <v>623</v>
      </c>
      <c r="H214" s="3" t="s">
        <v>624</v>
      </c>
      <c r="I214" s="2"/>
      <c r="J214" s="2"/>
      <c r="K214" s="2"/>
      <c r="L214" s="2"/>
      <c r="M214" s="2"/>
      <c r="N214" s="2"/>
      <c r="O214" s="2"/>
      <c r="P214" s="2"/>
      <c r="Q214" s="2"/>
      <c r="R214" s="2"/>
      <c r="S214" s="2"/>
      <c r="T214" s="2"/>
      <c r="U214" s="2"/>
      <c r="V214" s="2"/>
      <c r="W214" s="2"/>
      <c r="X214" s="2"/>
      <c r="Y214" s="2"/>
      <c r="Z214" s="2"/>
    </row>
    <row r="215" ht="15.75" customHeight="1">
      <c r="A215" s="3" t="s">
        <v>1127</v>
      </c>
      <c r="B215" s="3" t="s">
        <v>620</v>
      </c>
      <c r="C215" s="3" t="s">
        <v>1125</v>
      </c>
      <c r="D215" s="33" t="s">
        <v>795</v>
      </c>
      <c r="E215" s="3" t="s">
        <v>1128</v>
      </c>
      <c r="F215" s="3" t="s">
        <v>1129</v>
      </c>
      <c r="G215" s="3" t="s">
        <v>1130</v>
      </c>
      <c r="H215" s="9" t="s">
        <v>1131</v>
      </c>
      <c r="I215" s="2"/>
      <c r="J215" s="2"/>
      <c r="K215" s="2"/>
      <c r="L215" s="2"/>
      <c r="M215" s="2"/>
      <c r="N215" s="2"/>
      <c r="O215" s="2"/>
      <c r="P215" s="2"/>
      <c r="Q215" s="2"/>
      <c r="R215" s="2"/>
      <c r="S215" s="2"/>
      <c r="T215" s="2"/>
      <c r="U215" s="2"/>
      <c r="V215" s="2"/>
      <c r="W215" s="2"/>
      <c r="X215" s="2"/>
      <c r="Y215" s="2"/>
      <c r="Z215" s="2"/>
    </row>
    <row r="216" ht="15.75" customHeight="1">
      <c r="A216" s="3" t="s">
        <v>1132</v>
      </c>
      <c r="B216" s="3" t="s">
        <v>620</v>
      </c>
      <c r="C216" s="3" t="s">
        <v>1125</v>
      </c>
      <c r="D216" s="33" t="s">
        <v>795</v>
      </c>
      <c r="E216" s="3" t="s">
        <v>1128</v>
      </c>
      <c r="F216" s="3" t="s">
        <v>1133</v>
      </c>
      <c r="G216" s="3" t="s">
        <v>1134</v>
      </c>
      <c r="H216" s="9" t="s">
        <v>1131</v>
      </c>
      <c r="I216" s="2"/>
      <c r="J216" s="2"/>
      <c r="K216" s="2"/>
      <c r="L216" s="2"/>
      <c r="M216" s="2"/>
      <c r="N216" s="2"/>
      <c r="O216" s="2"/>
      <c r="P216" s="2"/>
      <c r="Q216" s="2"/>
      <c r="R216" s="2"/>
      <c r="S216" s="2"/>
      <c r="T216" s="2"/>
      <c r="U216" s="2"/>
      <c r="V216" s="2"/>
      <c r="W216" s="2"/>
      <c r="X216" s="2"/>
      <c r="Y216" s="2"/>
      <c r="Z216" s="2"/>
    </row>
    <row r="217" ht="15.75" customHeight="1">
      <c r="A217" s="3" t="s">
        <v>1135</v>
      </c>
      <c r="B217" s="3" t="s">
        <v>620</v>
      </c>
      <c r="C217" s="3" t="s">
        <v>1125</v>
      </c>
      <c r="D217" s="33" t="s">
        <v>795</v>
      </c>
      <c r="E217" s="3" t="s">
        <v>1128</v>
      </c>
      <c r="F217" s="3" t="s">
        <v>1136</v>
      </c>
      <c r="G217" s="3" t="s">
        <v>1137</v>
      </c>
      <c r="H217" s="9" t="s">
        <v>1131</v>
      </c>
      <c r="I217" s="2"/>
      <c r="J217" s="2"/>
      <c r="K217" s="2"/>
      <c r="L217" s="2"/>
      <c r="M217" s="2"/>
      <c r="N217" s="2"/>
      <c r="O217" s="2"/>
      <c r="P217" s="2"/>
      <c r="Q217" s="2"/>
      <c r="R217" s="2"/>
      <c r="S217" s="2"/>
      <c r="T217" s="2"/>
      <c r="U217" s="2"/>
      <c r="V217" s="2"/>
      <c r="W217" s="2"/>
      <c r="X217" s="2"/>
      <c r="Y217" s="2"/>
      <c r="Z217" s="2"/>
    </row>
    <row r="218" ht="15.75" customHeight="1">
      <c r="A218" s="3" t="s">
        <v>1138</v>
      </c>
      <c r="B218" s="3" t="s">
        <v>1139</v>
      </c>
      <c r="C218" s="3" t="s">
        <v>1125</v>
      </c>
      <c r="D218" s="3" t="s">
        <v>1140</v>
      </c>
      <c r="E218" s="3" t="s">
        <v>1141</v>
      </c>
      <c r="F218" s="3" t="s">
        <v>712</v>
      </c>
      <c r="G218" s="3" t="s">
        <v>1142</v>
      </c>
      <c r="H218" s="3" t="s">
        <v>624</v>
      </c>
      <c r="I218" s="2"/>
      <c r="J218" s="2"/>
      <c r="K218" s="2"/>
      <c r="L218" s="2"/>
      <c r="M218" s="2"/>
      <c r="N218" s="2"/>
      <c r="O218" s="2"/>
      <c r="P218" s="2"/>
      <c r="Q218" s="2"/>
      <c r="R218" s="2"/>
      <c r="S218" s="2"/>
      <c r="T218" s="2"/>
      <c r="U218" s="2"/>
      <c r="V218" s="2"/>
      <c r="W218" s="2"/>
      <c r="X218" s="2"/>
      <c r="Y218" s="2"/>
      <c r="Z218" s="2"/>
    </row>
    <row r="219" ht="15.75" customHeight="1">
      <c r="A219" s="3" t="s">
        <v>1143</v>
      </c>
      <c r="B219" s="3" t="s">
        <v>656</v>
      </c>
      <c r="C219" s="3" t="s">
        <v>530</v>
      </c>
      <c r="D219" s="3" t="s">
        <v>119</v>
      </c>
      <c r="E219" s="32" t="s">
        <v>1144</v>
      </c>
      <c r="F219" s="9" t="s">
        <v>1145</v>
      </c>
      <c r="G219" s="2"/>
      <c r="H219" s="3" t="s">
        <v>1146</v>
      </c>
      <c r="I219" s="3" t="s">
        <v>1147</v>
      </c>
      <c r="J219" s="2"/>
      <c r="K219" s="2"/>
      <c r="L219" s="2"/>
      <c r="M219" s="2"/>
      <c r="N219" s="2"/>
      <c r="O219" s="2"/>
      <c r="P219" s="2"/>
      <c r="Q219" s="2"/>
      <c r="R219" s="2"/>
      <c r="S219" s="2"/>
      <c r="T219" s="2"/>
      <c r="U219" s="2"/>
      <c r="V219" s="2"/>
      <c r="W219" s="2"/>
      <c r="X219" s="2"/>
      <c r="Y219" s="2"/>
      <c r="Z219" s="2"/>
    </row>
    <row r="220" ht="15.75" customHeight="1">
      <c r="A220" s="3" t="s">
        <v>1148</v>
      </c>
      <c r="B220" s="3" t="s">
        <v>656</v>
      </c>
      <c r="C220" s="3" t="s">
        <v>530</v>
      </c>
      <c r="D220" s="3" t="s">
        <v>92</v>
      </c>
      <c r="E220" s="32" t="s">
        <v>894</v>
      </c>
      <c r="F220" s="9" t="s">
        <v>1149</v>
      </c>
      <c r="G220" s="2"/>
      <c r="H220" s="3" t="s">
        <v>1146</v>
      </c>
      <c r="I220" s="3" t="s">
        <v>1147</v>
      </c>
      <c r="J220" s="2"/>
      <c r="K220" s="2"/>
      <c r="L220" s="2"/>
      <c r="M220" s="2"/>
      <c r="N220" s="2"/>
      <c r="O220" s="2"/>
      <c r="P220" s="2"/>
      <c r="Q220" s="2"/>
      <c r="R220" s="2"/>
      <c r="S220" s="2"/>
      <c r="T220" s="2"/>
      <c r="U220" s="2"/>
      <c r="V220" s="2"/>
      <c r="W220" s="2"/>
      <c r="X220" s="2"/>
      <c r="Y220" s="2"/>
      <c r="Z220" s="2"/>
    </row>
    <row r="221" ht="15.75" customHeight="1">
      <c r="A221" s="3" t="s">
        <v>1150</v>
      </c>
      <c r="B221" s="3" t="s">
        <v>656</v>
      </c>
      <c r="C221" s="3" t="s">
        <v>530</v>
      </c>
      <c r="D221" s="3" t="s">
        <v>47</v>
      </c>
      <c r="E221" s="5">
        <v>0.7708333333333334</v>
      </c>
      <c r="F221" s="3" t="s">
        <v>1151</v>
      </c>
      <c r="G221" s="3" t="s">
        <v>1152</v>
      </c>
      <c r="H221" s="3" t="s">
        <v>1009</v>
      </c>
      <c r="I221" s="3" t="s">
        <v>1153</v>
      </c>
      <c r="J221" s="2"/>
      <c r="K221" s="2"/>
      <c r="L221" s="2"/>
      <c r="M221" s="2"/>
      <c r="N221" s="2"/>
      <c r="O221" s="2"/>
      <c r="P221" s="2"/>
      <c r="Q221" s="2"/>
      <c r="R221" s="2"/>
      <c r="S221" s="2"/>
      <c r="T221" s="2"/>
      <c r="U221" s="2"/>
      <c r="V221" s="2"/>
      <c r="W221" s="2"/>
      <c r="X221" s="2"/>
      <c r="Y221" s="2"/>
      <c r="Z221" s="2"/>
    </row>
    <row r="222" ht="15.75" customHeight="1">
      <c r="A222" s="3" t="s">
        <v>1154</v>
      </c>
      <c r="B222" s="3" t="s">
        <v>1155</v>
      </c>
      <c r="C222" s="3" t="s">
        <v>530</v>
      </c>
      <c r="D222" s="3" t="s">
        <v>119</v>
      </c>
      <c r="E222" s="5">
        <v>0.7916666666666666</v>
      </c>
      <c r="F222" s="3" t="s">
        <v>1156</v>
      </c>
      <c r="G222" s="3" t="s">
        <v>1152</v>
      </c>
      <c r="H222" s="3" t="s">
        <v>1009</v>
      </c>
      <c r="I222" s="3" t="s">
        <v>1153</v>
      </c>
      <c r="J222" s="2"/>
      <c r="K222" s="2"/>
      <c r="L222" s="2"/>
      <c r="M222" s="2"/>
      <c r="N222" s="2"/>
      <c r="O222" s="2"/>
      <c r="P222" s="2"/>
      <c r="Q222" s="2"/>
      <c r="R222" s="2"/>
      <c r="S222" s="2"/>
      <c r="T222" s="2"/>
      <c r="U222" s="2"/>
      <c r="V222" s="2"/>
      <c r="W222" s="2"/>
      <c r="X222" s="2"/>
      <c r="Y222" s="2"/>
      <c r="Z222" s="2"/>
    </row>
    <row r="223" ht="15.75" customHeight="1">
      <c r="A223" s="3" t="s">
        <v>1157</v>
      </c>
      <c r="B223" s="3" t="s">
        <v>656</v>
      </c>
      <c r="C223" s="3" t="s">
        <v>530</v>
      </c>
      <c r="D223" s="3" t="s">
        <v>268</v>
      </c>
      <c r="E223" s="32" t="s">
        <v>1158</v>
      </c>
      <c r="F223" s="3" t="s">
        <v>1159</v>
      </c>
      <c r="G223" s="3" t="s">
        <v>1152</v>
      </c>
      <c r="H223" s="3" t="s">
        <v>1009</v>
      </c>
      <c r="I223" s="3" t="s">
        <v>1153</v>
      </c>
      <c r="J223" s="2"/>
      <c r="K223" s="2"/>
      <c r="L223" s="2"/>
      <c r="M223" s="2"/>
      <c r="N223" s="2"/>
      <c r="O223" s="2"/>
      <c r="P223" s="2"/>
      <c r="Q223" s="2"/>
      <c r="R223" s="2"/>
      <c r="S223" s="2"/>
      <c r="T223" s="2"/>
      <c r="U223" s="2"/>
      <c r="V223" s="2"/>
      <c r="W223" s="2"/>
      <c r="X223" s="2"/>
      <c r="Y223" s="2"/>
      <c r="Z223" s="2"/>
    </row>
    <row r="224" ht="15.75" customHeight="1">
      <c r="A224" s="3" t="s">
        <v>1160</v>
      </c>
      <c r="B224" s="3" t="s">
        <v>656</v>
      </c>
      <c r="C224" s="3" t="s">
        <v>530</v>
      </c>
      <c r="D224" s="3" t="s">
        <v>268</v>
      </c>
      <c r="E224" s="32" t="s">
        <v>1161</v>
      </c>
      <c r="F224" s="3" t="s">
        <v>1159</v>
      </c>
      <c r="G224" s="3" t="s">
        <v>1152</v>
      </c>
      <c r="H224" s="3" t="s">
        <v>1009</v>
      </c>
      <c r="I224" s="3" t="s">
        <v>1153</v>
      </c>
      <c r="J224" s="2"/>
      <c r="K224" s="2"/>
      <c r="L224" s="2"/>
      <c r="M224" s="2"/>
      <c r="N224" s="2"/>
      <c r="O224" s="2"/>
      <c r="P224" s="2"/>
      <c r="Q224" s="2"/>
      <c r="R224" s="2"/>
      <c r="S224" s="2"/>
      <c r="T224" s="2"/>
      <c r="U224" s="2"/>
      <c r="V224" s="2"/>
      <c r="W224" s="2"/>
      <c r="X224" s="2"/>
      <c r="Y224" s="2"/>
      <c r="Z224" s="2"/>
    </row>
    <row r="225" ht="15.75" customHeight="1">
      <c r="A225" s="3" t="s">
        <v>1162</v>
      </c>
      <c r="B225" s="3" t="s">
        <v>1155</v>
      </c>
      <c r="C225" s="3" t="s">
        <v>530</v>
      </c>
      <c r="D225" s="3" t="s">
        <v>298</v>
      </c>
      <c r="E225" s="3" t="s">
        <v>1158</v>
      </c>
      <c r="F225" s="3" t="s">
        <v>1159</v>
      </c>
      <c r="G225" s="3" t="s">
        <v>1152</v>
      </c>
      <c r="H225" s="3" t="s">
        <v>1009</v>
      </c>
      <c r="I225" s="3" t="s">
        <v>1153</v>
      </c>
      <c r="J225" s="2"/>
      <c r="K225" s="2"/>
      <c r="L225" s="2"/>
      <c r="M225" s="2"/>
      <c r="N225" s="2"/>
      <c r="O225" s="2"/>
      <c r="P225" s="2"/>
      <c r="Q225" s="2"/>
      <c r="R225" s="2"/>
      <c r="S225" s="2"/>
      <c r="T225" s="2"/>
      <c r="U225" s="2"/>
      <c r="V225" s="2"/>
      <c r="W225" s="2"/>
      <c r="X225" s="2"/>
      <c r="Y225" s="2"/>
      <c r="Z225" s="2"/>
    </row>
    <row r="226" ht="15.75" customHeight="1">
      <c r="A226" s="3" t="s">
        <v>1163</v>
      </c>
      <c r="B226" s="3" t="s">
        <v>1164</v>
      </c>
      <c r="C226" s="3" t="s">
        <v>530</v>
      </c>
      <c r="D226" s="3" t="s">
        <v>298</v>
      </c>
      <c r="E226" s="3" t="s">
        <v>1161</v>
      </c>
      <c r="F226" s="3" t="s">
        <v>1159</v>
      </c>
      <c r="G226" s="3" t="s">
        <v>1152</v>
      </c>
      <c r="H226" s="3" t="s">
        <v>1009</v>
      </c>
      <c r="I226" s="3" t="s">
        <v>1153</v>
      </c>
      <c r="J226" s="2"/>
      <c r="K226" s="2"/>
      <c r="L226" s="2"/>
      <c r="M226" s="2"/>
      <c r="N226" s="2"/>
      <c r="O226" s="2"/>
      <c r="P226" s="2"/>
      <c r="Q226" s="2"/>
      <c r="R226" s="2"/>
      <c r="S226" s="2"/>
      <c r="T226" s="2"/>
      <c r="U226" s="2"/>
      <c r="V226" s="2"/>
      <c r="W226" s="2"/>
      <c r="X226" s="2"/>
      <c r="Y226" s="2"/>
      <c r="Z226" s="2"/>
    </row>
    <row r="227" ht="15.75" customHeight="1">
      <c r="A227" s="3" t="s">
        <v>1165</v>
      </c>
      <c r="B227" s="3" t="s">
        <v>656</v>
      </c>
      <c r="C227" s="3" t="s">
        <v>530</v>
      </c>
      <c r="D227" s="3" t="s">
        <v>268</v>
      </c>
      <c r="E227" s="5">
        <v>0.6041666666666666</v>
      </c>
      <c r="F227" s="3" t="s">
        <v>1166</v>
      </c>
      <c r="G227" s="3" t="s">
        <v>1167</v>
      </c>
      <c r="H227" s="3" t="s">
        <v>1168</v>
      </c>
      <c r="I227" s="3" t="s">
        <v>1169</v>
      </c>
      <c r="J227" s="2"/>
      <c r="K227" s="2"/>
      <c r="L227" s="9" t="s">
        <v>1170</v>
      </c>
      <c r="M227" s="2"/>
      <c r="N227" s="2"/>
      <c r="O227" s="2"/>
      <c r="P227" s="2"/>
      <c r="Q227" s="2"/>
      <c r="R227" s="2"/>
      <c r="S227" s="2"/>
      <c r="T227" s="2"/>
      <c r="U227" s="2"/>
      <c r="V227" s="2"/>
      <c r="W227" s="2"/>
      <c r="X227" s="2"/>
      <c r="Y227" s="2"/>
      <c r="Z227" s="2"/>
    </row>
    <row r="228" ht="15.75" customHeight="1">
      <c r="A228" s="3" t="s">
        <v>1171</v>
      </c>
      <c r="B228" s="3" t="s">
        <v>656</v>
      </c>
      <c r="C228" s="3" t="s">
        <v>530</v>
      </c>
      <c r="D228" s="3" t="s">
        <v>119</v>
      </c>
      <c r="E228" s="5">
        <v>0.3854166666666667</v>
      </c>
      <c r="F228" s="3" t="s">
        <v>1166</v>
      </c>
      <c r="G228" s="3" t="s">
        <v>1172</v>
      </c>
      <c r="H228" s="3" t="s">
        <v>1168</v>
      </c>
      <c r="I228" s="3" t="s">
        <v>1169</v>
      </c>
      <c r="J228" s="2"/>
      <c r="K228" s="2"/>
      <c r="L228" s="9" t="s">
        <v>1173</v>
      </c>
      <c r="M228" s="2"/>
      <c r="N228" s="2"/>
      <c r="O228" s="2"/>
      <c r="P228" s="2"/>
      <c r="Q228" s="2"/>
      <c r="R228" s="2"/>
      <c r="S228" s="2"/>
      <c r="T228" s="2"/>
      <c r="U228" s="2"/>
      <c r="V228" s="2"/>
      <c r="W228" s="2"/>
      <c r="X228" s="2"/>
      <c r="Y228" s="2"/>
      <c r="Z228" s="2"/>
    </row>
    <row r="229" ht="15.75" customHeight="1">
      <c r="A229" s="3" t="s">
        <v>1174</v>
      </c>
      <c r="B229" s="3" t="s">
        <v>656</v>
      </c>
      <c r="C229" s="3" t="s">
        <v>530</v>
      </c>
      <c r="D229" s="3" t="s">
        <v>119</v>
      </c>
      <c r="E229" s="5">
        <v>0.4375</v>
      </c>
      <c r="F229" s="3" t="s">
        <v>1166</v>
      </c>
      <c r="G229" s="3" t="s">
        <v>1175</v>
      </c>
      <c r="H229" s="3" t="s">
        <v>1168</v>
      </c>
      <c r="I229" s="3" t="s">
        <v>1169</v>
      </c>
      <c r="J229" s="2"/>
      <c r="K229" s="2"/>
      <c r="L229" s="9" t="s">
        <v>1176</v>
      </c>
      <c r="M229" s="2"/>
      <c r="N229" s="2"/>
      <c r="O229" s="2"/>
      <c r="P229" s="2"/>
      <c r="Q229" s="2"/>
      <c r="R229" s="2"/>
      <c r="S229" s="2"/>
      <c r="T229" s="2"/>
      <c r="U229" s="2"/>
      <c r="V229" s="2"/>
      <c r="W229" s="2"/>
      <c r="X229" s="2"/>
      <c r="Y229" s="2"/>
      <c r="Z229" s="2"/>
    </row>
    <row r="230" ht="15.75" customHeight="1">
      <c r="A230" s="3" t="s">
        <v>1177</v>
      </c>
      <c r="B230" s="3" t="s">
        <v>656</v>
      </c>
      <c r="C230" s="3" t="s">
        <v>530</v>
      </c>
      <c r="D230" s="3" t="s">
        <v>268</v>
      </c>
      <c r="E230" s="5">
        <v>0.8333333333333334</v>
      </c>
      <c r="F230" s="9" t="s">
        <v>1149</v>
      </c>
      <c r="G230" s="2"/>
      <c r="H230" s="3" t="s">
        <v>1178</v>
      </c>
      <c r="I230" s="3" t="s">
        <v>1179</v>
      </c>
      <c r="J230" s="9" t="s">
        <v>1180</v>
      </c>
      <c r="K230" s="2"/>
      <c r="L230" s="9" t="s">
        <v>1181</v>
      </c>
      <c r="M230" s="2"/>
      <c r="N230" s="2"/>
      <c r="O230" s="2"/>
      <c r="P230" s="2"/>
      <c r="Q230" s="2"/>
      <c r="R230" s="2"/>
      <c r="S230" s="2"/>
      <c r="T230" s="2"/>
      <c r="U230" s="2"/>
      <c r="V230" s="2"/>
      <c r="W230" s="2"/>
      <c r="X230" s="2"/>
      <c r="Y230" s="2"/>
      <c r="Z230" s="2"/>
    </row>
    <row r="231" ht="15.75" customHeight="1">
      <c r="A231" s="3" t="s">
        <v>1182</v>
      </c>
      <c r="B231" s="3" t="s">
        <v>1164</v>
      </c>
      <c r="C231" s="3" t="s">
        <v>530</v>
      </c>
      <c r="D231" s="3" t="s">
        <v>20</v>
      </c>
      <c r="E231" s="5">
        <v>0.8125</v>
      </c>
      <c r="F231" s="9" t="s">
        <v>1149</v>
      </c>
      <c r="G231" s="2"/>
      <c r="H231" s="3" t="s">
        <v>1178</v>
      </c>
      <c r="I231" s="3" t="s">
        <v>1179</v>
      </c>
      <c r="J231" s="9" t="s">
        <v>1180</v>
      </c>
      <c r="K231" s="2"/>
      <c r="L231" s="9" t="s">
        <v>1181</v>
      </c>
      <c r="M231" s="2"/>
      <c r="N231" s="2"/>
      <c r="O231" s="2"/>
      <c r="P231" s="2"/>
      <c r="Q231" s="2"/>
      <c r="R231" s="2"/>
      <c r="S231" s="2"/>
      <c r="T231" s="2"/>
      <c r="U231" s="2"/>
      <c r="V231" s="2"/>
      <c r="W231" s="2"/>
      <c r="X231" s="2"/>
      <c r="Y231" s="2"/>
      <c r="Z231" s="2"/>
    </row>
    <row r="232" ht="15.75" customHeight="1">
      <c r="A232" s="3" t="s">
        <v>1183</v>
      </c>
      <c r="B232" s="3" t="s">
        <v>1184</v>
      </c>
      <c r="C232" s="3" t="s">
        <v>530</v>
      </c>
      <c r="D232" s="3" t="s">
        <v>298</v>
      </c>
      <c r="E232" s="5">
        <v>0.7708333333333334</v>
      </c>
      <c r="F232" s="9" t="s">
        <v>1149</v>
      </c>
      <c r="G232" s="2"/>
      <c r="H232" s="3" t="s">
        <v>1178</v>
      </c>
      <c r="I232" s="3" t="s">
        <v>1179</v>
      </c>
      <c r="J232" s="9" t="s">
        <v>1180</v>
      </c>
      <c r="K232" s="2"/>
      <c r="L232" s="9" t="s">
        <v>1181</v>
      </c>
      <c r="M232" s="2"/>
      <c r="N232" s="2"/>
      <c r="O232" s="2"/>
      <c r="P232" s="2"/>
      <c r="Q232" s="2"/>
      <c r="R232" s="2"/>
      <c r="S232" s="2"/>
      <c r="T232" s="2"/>
      <c r="U232" s="2"/>
      <c r="V232" s="2"/>
      <c r="W232" s="2"/>
      <c r="X232" s="2"/>
      <c r="Y232" s="2"/>
      <c r="Z232" s="2"/>
    </row>
    <row r="233" ht="15.75" customHeight="1">
      <c r="A233" s="3" t="s">
        <v>1185</v>
      </c>
      <c r="B233" s="3" t="s">
        <v>1186</v>
      </c>
      <c r="C233" s="3" t="s">
        <v>1187</v>
      </c>
      <c r="D233" s="3" t="s">
        <v>119</v>
      </c>
      <c r="E233" s="3" t="s">
        <v>1126</v>
      </c>
      <c r="F233" s="9" t="s">
        <v>1149</v>
      </c>
      <c r="G233" s="2"/>
      <c r="H233" s="3" t="s">
        <v>1178</v>
      </c>
      <c r="I233" s="3" t="s">
        <v>1179</v>
      </c>
      <c r="J233" s="9" t="s">
        <v>1180</v>
      </c>
      <c r="K233" s="2"/>
      <c r="L233" s="9" t="s">
        <v>1181</v>
      </c>
      <c r="M233" s="2"/>
      <c r="N233" s="2"/>
      <c r="O233" s="2"/>
      <c r="P233" s="2"/>
      <c r="Q233" s="2"/>
      <c r="R233" s="2"/>
      <c r="S233" s="2"/>
      <c r="T233" s="2"/>
      <c r="U233" s="2"/>
      <c r="V233" s="2"/>
      <c r="W233" s="2"/>
      <c r="X233" s="2"/>
      <c r="Y233" s="2"/>
      <c r="Z233" s="2"/>
    </row>
    <row r="234" ht="15.75" customHeight="1">
      <c r="A234" s="3" t="s">
        <v>1188</v>
      </c>
      <c r="B234" s="3" t="s">
        <v>461</v>
      </c>
      <c r="C234" s="3" t="s">
        <v>530</v>
      </c>
      <c r="D234" s="3" t="s">
        <v>268</v>
      </c>
      <c r="E234" s="3" t="s">
        <v>1189</v>
      </c>
      <c r="F234" s="9" t="s">
        <v>1190</v>
      </c>
      <c r="G234" s="2"/>
      <c r="H234" s="3" t="s">
        <v>1191</v>
      </c>
      <c r="I234" s="3" t="s">
        <v>1192</v>
      </c>
      <c r="J234" s="9" t="s">
        <v>1193</v>
      </c>
      <c r="K234" s="2"/>
      <c r="L234" s="2"/>
      <c r="M234" s="2"/>
      <c r="N234" s="2"/>
      <c r="O234" s="2"/>
      <c r="P234" s="2"/>
      <c r="Q234" s="2"/>
      <c r="R234" s="2"/>
      <c r="S234" s="2"/>
      <c r="T234" s="2"/>
      <c r="U234" s="2"/>
      <c r="V234" s="2"/>
      <c r="W234" s="2"/>
      <c r="X234" s="2"/>
      <c r="Y234" s="2"/>
      <c r="Z234" s="2"/>
    </row>
    <row r="235" ht="15.75" customHeight="1">
      <c r="A235" s="3" t="s">
        <v>1194</v>
      </c>
      <c r="B235" s="3" t="s">
        <v>1195</v>
      </c>
      <c r="C235" s="3" t="s">
        <v>530</v>
      </c>
      <c r="D235" s="3" t="s">
        <v>47</v>
      </c>
      <c r="E235" s="3" t="s">
        <v>1189</v>
      </c>
      <c r="F235" s="9" t="s">
        <v>1190</v>
      </c>
      <c r="G235" s="2"/>
      <c r="H235" s="3" t="s">
        <v>1191</v>
      </c>
      <c r="I235" s="3" t="s">
        <v>1192</v>
      </c>
      <c r="J235" s="9" t="s">
        <v>1193</v>
      </c>
      <c r="K235" s="2"/>
      <c r="L235" s="2"/>
      <c r="M235" s="2"/>
      <c r="N235" s="2"/>
      <c r="O235" s="2"/>
      <c r="P235" s="2"/>
      <c r="Q235" s="2"/>
      <c r="R235" s="2"/>
      <c r="S235" s="2"/>
      <c r="T235" s="2"/>
      <c r="U235" s="2"/>
      <c r="V235" s="2"/>
      <c r="W235" s="2"/>
      <c r="X235" s="2"/>
      <c r="Y235" s="2"/>
      <c r="Z235" s="2"/>
    </row>
    <row r="236" ht="15.75" customHeight="1">
      <c r="A236" s="3" t="s">
        <v>1196</v>
      </c>
      <c r="B236" s="3" t="s">
        <v>1195</v>
      </c>
      <c r="C236" s="3" t="s">
        <v>720</v>
      </c>
      <c r="D236" s="3" t="s">
        <v>1197</v>
      </c>
      <c r="E236" s="3" t="s">
        <v>1128</v>
      </c>
      <c r="F236" s="3" t="s">
        <v>1190</v>
      </c>
      <c r="G236" s="3" t="s">
        <v>1198</v>
      </c>
      <c r="H236" s="3" t="s">
        <v>1199</v>
      </c>
      <c r="I236" s="3" t="s">
        <v>1200</v>
      </c>
      <c r="J236" s="9" t="s">
        <v>1193</v>
      </c>
      <c r="K236" s="2"/>
      <c r="L236" s="2"/>
      <c r="M236" s="2"/>
      <c r="N236" s="2"/>
      <c r="O236" s="2"/>
      <c r="P236" s="2"/>
      <c r="Q236" s="2"/>
      <c r="R236" s="2"/>
      <c r="S236" s="2"/>
      <c r="T236" s="2"/>
      <c r="U236" s="2"/>
      <c r="V236" s="2"/>
      <c r="W236" s="2"/>
      <c r="X236" s="2"/>
      <c r="Y236" s="2"/>
      <c r="Z236" s="2"/>
    </row>
    <row r="237" ht="15.75" customHeight="1">
      <c r="A237" s="3" t="s">
        <v>1201</v>
      </c>
      <c r="B237" s="3" t="s">
        <v>1202</v>
      </c>
      <c r="C237" s="36" t="s">
        <v>1203</v>
      </c>
      <c r="D237" s="3" t="s">
        <v>268</v>
      </c>
      <c r="E237" s="3" t="s">
        <v>1189</v>
      </c>
      <c r="F237" s="3" t="s">
        <v>1204</v>
      </c>
      <c r="G237" s="3" t="s">
        <v>1205</v>
      </c>
      <c r="H237" s="3" t="s">
        <v>146</v>
      </c>
      <c r="I237" s="9" t="s">
        <v>1206</v>
      </c>
      <c r="J237" s="2"/>
      <c r="K237" s="2"/>
      <c r="L237" s="9" t="s">
        <v>1207</v>
      </c>
      <c r="M237" s="2"/>
      <c r="N237" s="2"/>
      <c r="O237" s="2"/>
      <c r="P237" s="2"/>
      <c r="Q237" s="2"/>
      <c r="R237" s="2"/>
      <c r="S237" s="2"/>
      <c r="T237" s="2"/>
      <c r="U237" s="2"/>
      <c r="V237" s="2"/>
      <c r="W237" s="2"/>
      <c r="X237" s="2"/>
      <c r="Y237" s="2"/>
      <c r="Z237" s="2"/>
    </row>
    <row r="238" ht="15.75" customHeight="1">
      <c r="A238" s="3" t="s">
        <v>1208</v>
      </c>
      <c r="B238" s="3" t="s">
        <v>1095</v>
      </c>
      <c r="C238" s="36" t="s">
        <v>1209</v>
      </c>
      <c r="D238" s="33" t="s">
        <v>1210</v>
      </c>
      <c r="E238" s="3" t="s">
        <v>1211</v>
      </c>
      <c r="F238" s="3" t="s">
        <v>204</v>
      </c>
      <c r="G238" s="3" t="s">
        <v>1212</v>
      </c>
      <c r="H238" s="3" t="s">
        <v>1069</v>
      </c>
      <c r="I238" s="3" t="s">
        <v>1213</v>
      </c>
      <c r="J238" s="9" t="s">
        <v>1071</v>
      </c>
      <c r="K238" s="2"/>
      <c r="L238" s="9" t="s">
        <v>1214</v>
      </c>
      <c r="M238" s="2"/>
      <c r="N238" s="2"/>
      <c r="O238" s="2"/>
      <c r="P238" s="2"/>
      <c r="Q238" s="2"/>
      <c r="R238" s="2"/>
      <c r="S238" s="2"/>
      <c r="T238" s="2"/>
      <c r="U238" s="2"/>
      <c r="V238" s="2"/>
      <c r="W238" s="2"/>
      <c r="X238" s="2"/>
      <c r="Y238" s="2"/>
      <c r="Z238" s="2"/>
    </row>
    <row r="239" ht="15.75" customHeight="1">
      <c r="A239" s="3" t="s">
        <v>1215</v>
      </c>
      <c r="B239" s="3" t="s">
        <v>1084</v>
      </c>
      <c r="C239" s="36" t="s">
        <v>1216</v>
      </c>
      <c r="D239" s="3" t="s">
        <v>1217</v>
      </c>
      <c r="E239" s="3" t="s">
        <v>1218</v>
      </c>
      <c r="F239" s="9" t="s">
        <v>204</v>
      </c>
      <c r="G239" s="2"/>
      <c r="H239" s="3" t="s">
        <v>1093</v>
      </c>
      <c r="I239" s="3" t="s">
        <v>1070</v>
      </c>
      <c r="J239" s="9" t="s">
        <v>1071</v>
      </c>
      <c r="K239" s="2"/>
      <c r="L239" s="2"/>
      <c r="M239" s="2"/>
      <c r="N239" s="2"/>
      <c r="O239" s="2"/>
      <c r="P239" s="2"/>
      <c r="Q239" s="2"/>
      <c r="R239" s="2"/>
      <c r="S239" s="2"/>
      <c r="T239" s="2"/>
      <c r="U239" s="2"/>
      <c r="V239" s="2"/>
      <c r="W239" s="2"/>
      <c r="X239" s="2"/>
      <c r="Y239" s="2"/>
      <c r="Z239" s="2"/>
    </row>
    <row r="240" ht="15.75" customHeight="1">
      <c r="A240" s="3" t="s">
        <v>1219</v>
      </c>
      <c r="B240" s="3" t="s">
        <v>1084</v>
      </c>
      <c r="C240" s="36" t="s">
        <v>1216</v>
      </c>
      <c r="D240" s="3" t="s">
        <v>1220</v>
      </c>
      <c r="E240" s="32" t="s">
        <v>1086</v>
      </c>
      <c r="F240" s="9" t="s">
        <v>204</v>
      </c>
      <c r="G240" s="2"/>
      <c r="H240" s="3" t="s">
        <v>1221</v>
      </c>
      <c r="I240" s="3" t="s">
        <v>1070</v>
      </c>
      <c r="J240" s="9" t="s">
        <v>1071</v>
      </c>
      <c r="K240" s="2"/>
      <c r="L240" s="2"/>
      <c r="M240" s="2"/>
      <c r="N240" s="2"/>
      <c r="O240" s="2"/>
      <c r="P240" s="2"/>
      <c r="Q240" s="2"/>
      <c r="R240" s="2"/>
      <c r="S240" s="2"/>
      <c r="T240" s="2"/>
      <c r="U240" s="2"/>
      <c r="V240" s="2"/>
      <c r="W240" s="2"/>
      <c r="X240" s="2"/>
      <c r="Y240" s="2"/>
      <c r="Z240" s="2"/>
    </row>
    <row r="241" ht="15.75" customHeight="1">
      <c r="A241" s="3" t="s">
        <v>1222</v>
      </c>
      <c r="B241" s="3" t="s">
        <v>1084</v>
      </c>
      <c r="C241" s="36" t="s">
        <v>1216</v>
      </c>
      <c r="D241" s="3" t="s">
        <v>1220</v>
      </c>
      <c r="E241" s="3" t="s">
        <v>1086</v>
      </c>
      <c r="F241" s="9" t="s">
        <v>204</v>
      </c>
      <c r="G241" s="2"/>
      <c r="H241" s="3" t="s">
        <v>1221</v>
      </c>
      <c r="I241" s="3" t="s">
        <v>1070</v>
      </c>
      <c r="J241" s="9" t="s">
        <v>1071</v>
      </c>
      <c r="K241" s="2"/>
      <c r="L241" s="3" t="s">
        <v>1223</v>
      </c>
      <c r="M241" s="2"/>
      <c r="N241" s="2"/>
      <c r="O241" s="2"/>
      <c r="P241" s="2"/>
      <c r="Q241" s="2"/>
      <c r="R241" s="2"/>
      <c r="S241" s="2"/>
      <c r="T241" s="2"/>
      <c r="U241" s="2"/>
      <c r="V241" s="2"/>
      <c r="W241" s="2"/>
      <c r="X241" s="2"/>
      <c r="Y241" s="2"/>
      <c r="Z241" s="2"/>
    </row>
    <row r="242" ht="15.75" customHeight="1">
      <c r="A242" s="3" t="s">
        <v>1224</v>
      </c>
      <c r="B242" s="3" t="s">
        <v>1084</v>
      </c>
      <c r="C242" s="36" t="s">
        <v>1225</v>
      </c>
      <c r="D242" s="3" t="s">
        <v>1033</v>
      </c>
      <c r="E242" s="3" t="s">
        <v>1226</v>
      </c>
      <c r="F242" s="9" t="s">
        <v>204</v>
      </c>
      <c r="G242" s="2"/>
      <c r="H242" s="3" t="s">
        <v>1227</v>
      </c>
      <c r="I242" s="3" t="s">
        <v>1070</v>
      </c>
      <c r="J242" s="9" t="s">
        <v>1071</v>
      </c>
      <c r="K242" s="2"/>
      <c r="L242" s="2"/>
      <c r="M242" s="2"/>
      <c r="N242" s="2"/>
      <c r="O242" s="2"/>
      <c r="P242" s="2"/>
      <c r="Q242" s="2"/>
      <c r="R242" s="2"/>
      <c r="S242" s="2"/>
      <c r="T242" s="2"/>
      <c r="U242" s="2"/>
      <c r="V242" s="2"/>
      <c r="W242" s="2"/>
      <c r="X242" s="2"/>
      <c r="Y242" s="2"/>
      <c r="Z242" s="2"/>
    </row>
    <row r="243" ht="15.75" customHeight="1">
      <c r="A243" s="3" t="s">
        <v>1228</v>
      </c>
      <c r="B243" s="3" t="s">
        <v>1084</v>
      </c>
      <c r="C243" s="36" t="s">
        <v>1229</v>
      </c>
      <c r="D243" s="3" t="s">
        <v>119</v>
      </c>
      <c r="E243" s="3" t="s">
        <v>1230</v>
      </c>
      <c r="F243" s="9" t="s">
        <v>204</v>
      </c>
      <c r="G243" s="2"/>
      <c r="H243" s="3" t="s">
        <v>1231</v>
      </c>
      <c r="I243" s="3" t="s">
        <v>1070</v>
      </c>
      <c r="J243" s="9" t="s">
        <v>1071</v>
      </c>
      <c r="K243" s="2"/>
      <c r="L243" s="9" t="s">
        <v>1232</v>
      </c>
      <c r="M243" s="2"/>
      <c r="N243" s="2"/>
      <c r="O243" s="2"/>
      <c r="P243" s="2"/>
      <c r="Q243" s="2"/>
      <c r="R243" s="2"/>
      <c r="S243" s="2"/>
      <c r="T243" s="2"/>
      <c r="U243" s="2"/>
      <c r="V243" s="2"/>
      <c r="W243" s="2"/>
      <c r="X243" s="2"/>
      <c r="Y243" s="2"/>
      <c r="Z243" s="2"/>
    </row>
    <row r="244" ht="15.75" customHeight="1">
      <c r="A244" s="3" t="s">
        <v>1233</v>
      </c>
      <c r="B244" s="3" t="s">
        <v>1234</v>
      </c>
      <c r="C244" s="36" t="s">
        <v>720</v>
      </c>
      <c r="D244" s="3" t="s">
        <v>1126</v>
      </c>
      <c r="E244" s="3" t="s">
        <v>1235</v>
      </c>
      <c r="F244" s="3" t="s">
        <v>1236</v>
      </c>
      <c r="G244" s="3" t="s">
        <v>1237</v>
      </c>
      <c r="H244" s="3" t="s">
        <v>1238</v>
      </c>
      <c r="I244" s="3" t="s">
        <v>1239</v>
      </c>
      <c r="J244" s="3" t="s">
        <v>1240</v>
      </c>
      <c r="K244" s="3" t="s">
        <v>1241</v>
      </c>
      <c r="L244" s="9" t="s">
        <v>1242</v>
      </c>
      <c r="M244" s="2"/>
      <c r="N244" s="2"/>
      <c r="O244" s="2"/>
      <c r="P244" s="2"/>
      <c r="Q244" s="2"/>
      <c r="R244" s="2"/>
      <c r="S244" s="2"/>
      <c r="T244" s="2"/>
      <c r="U244" s="2"/>
      <c r="V244" s="2"/>
      <c r="W244" s="2"/>
      <c r="X244" s="2"/>
      <c r="Y244" s="2"/>
      <c r="Z244" s="2"/>
    </row>
    <row r="245" ht="15.75" customHeight="1">
      <c r="A245" s="3" t="s">
        <v>1243</v>
      </c>
      <c r="B245" s="3" t="s">
        <v>891</v>
      </c>
      <c r="C245" s="37">
        <v>45936.0</v>
      </c>
      <c r="D245" s="3" t="s">
        <v>268</v>
      </c>
      <c r="E245" s="3" t="s">
        <v>1144</v>
      </c>
      <c r="F245" s="3" t="s">
        <v>1244</v>
      </c>
      <c r="G245" s="3" t="s">
        <v>1245</v>
      </c>
      <c r="H245" s="3" t="s">
        <v>1246</v>
      </c>
      <c r="I245" s="3" t="s">
        <v>1247</v>
      </c>
      <c r="J245" s="9" t="s">
        <v>1248</v>
      </c>
      <c r="K245" s="2"/>
      <c r="L245" s="3" t="s">
        <v>1249</v>
      </c>
      <c r="M245" s="6" t="s">
        <v>276</v>
      </c>
      <c r="N245" s="2"/>
      <c r="O245" s="2"/>
      <c r="P245" s="2"/>
      <c r="Q245" s="2"/>
      <c r="R245" s="2"/>
      <c r="S245" s="2"/>
      <c r="T245" s="2"/>
      <c r="U245" s="2"/>
      <c r="V245" s="2"/>
      <c r="W245" s="2"/>
      <c r="X245" s="2"/>
      <c r="Y245" s="2"/>
      <c r="Z245" s="2"/>
    </row>
    <row r="246" ht="15.75" customHeight="1">
      <c r="A246" s="3" t="s">
        <v>1250</v>
      </c>
      <c r="B246" s="3" t="s">
        <v>1251</v>
      </c>
      <c r="C246" s="37">
        <v>45933.0</v>
      </c>
      <c r="D246" s="3" t="s">
        <v>298</v>
      </c>
      <c r="E246" s="3" t="s">
        <v>1252</v>
      </c>
      <c r="F246" s="3" t="s">
        <v>850</v>
      </c>
      <c r="G246" s="3" t="s">
        <v>1253</v>
      </c>
      <c r="H246" s="3" t="s">
        <v>852</v>
      </c>
      <c r="I246" s="3" t="s">
        <v>853</v>
      </c>
      <c r="J246" s="2"/>
      <c r="K246" s="3" t="s">
        <v>209</v>
      </c>
      <c r="L246" s="9" t="s">
        <v>1111</v>
      </c>
      <c r="M246" s="2"/>
      <c r="N246" s="2"/>
      <c r="O246" s="2"/>
      <c r="P246" s="2"/>
      <c r="Q246" s="2"/>
      <c r="R246" s="2"/>
      <c r="S246" s="2"/>
      <c r="T246" s="2"/>
      <c r="U246" s="2"/>
      <c r="V246" s="2"/>
      <c r="W246" s="2"/>
      <c r="X246" s="2"/>
      <c r="Y246" s="2"/>
      <c r="Z246" s="2"/>
    </row>
    <row r="247" ht="15.75" customHeight="1">
      <c r="A247" s="3" t="s">
        <v>1254</v>
      </c>
      <c r="B247" s="3" t="s">
        <v>1255</v>
      </c>
      <c r="C247" s="37">
        <v>45932.0</v>
      </c>
      <c r="D247" s="3" t="s">
        <v>88</v>
      </c>
      <c r="E247" s="3" t="s">
        <v>1256</v>
      </c>
      <c r="F247" s="9" t="s">
        <v>1257</v>
      </c>
      <c r="G247" s="2"/>
      <c r="H247" s="2"/>
      <c r="I247" s="2"/>
      <c r="J247" s="2"/>
      <c r="K247" s="2"/>
      <c r="L247" s="2"/>
      <c r="M247" s="2"/>
      <c r="N247" s="2"/>
      <c r="O247" s="2"/>
      <c r="P247" s="2"/>
      <c r="Q247" s="2"/>
      <c r="R247" s="2"/>
      <c r="S247" s="2"/>
      <c r="T247" s="2"/>
      <c r="U247" s="2"/>
      <c r="V247" s="2"/>
      <c r="W247" s="2"/>
      <c r="X247" s="2"/>
      <c r="Y247" s="2"/>
      <c r="Z247" s="2"/>
    </row>
    <row r="248" ht="15.75" customHeight="1">
      <c r="A248" s="3" t="s">
        <v>1258</v>
      </c>
      <c r="B248" s="3" t="s">
        <v>1259</v>
      </c>
      <c r="C248" s="37">
        <v>45932.0</v>
      </c>
      <c r="D248" s="3" t="s">
        <v>88</v>
      </c>
      <c r="E248" s="5">
        <v>0.7916666666666666</v>
      </c>
      <c r="F248" s="3" t="s">
        <v>1260</v>
      </c>
      <c r="G248" s="3" t="s">
        <v>1261</v>
      </c>
      <c r="H248" s="3" t="s">
        <v>1262</v>
      </c>
      <c r="I248" s="3" t="s">
        <v>1263</v>
      </c>
      <c r="J248" s="2"/>
      <c r="K248" s="2"/>
      <c r="L248" s="9" t="s">
        <v>569</v>
      </c>
      <c r="M248" s="2"/>
      <c r="N248" s="2"/>
      <c r="O248" s="2"/>
      <c r="P248" s="2"/>
      <c r="Q248" s="2"/>
      <c r="R248" s="2"/>
      <c r="S248" s="2"/>
      <c r="T248" s="2"/>
      <c r="U248" s="2"/>
      <c r="V248" s="2"/>
      <c r="W248" s="2"/>
      <c r="X248" s="2"/>
      <c r="Y248" s="2"/>
      <c r="Z248" s="2"/>
    </row>
    <row r="249" ht="15.75" customHeight="1">
      <c r="A249" s="3" t="s">
        <v>1264</v>
      </c>
      <c r="B249" s="3" t="s">
        <v>375</v>
      </c>
      <c r="C249" s="37">
        <v>45933.0</v>
      </c>
      <c r="D249" s="3" t="s">
        <v>298</v>
      </c>
      <c r="E249" s="3" t="s">
        <v>1265</v>
      </c>
      <c r="F249" s="3" t="s">
        <v>1007</v>
      </c>
      <c r="G249" s="3" t="s">
        <v>1266</v>
      </c>
      <c r="H249" s="3" t="s">
        <v>1267</v>
      </c>
      <c r="I249" s="3" t="s">
        <v>1010</v>
      </c>
      <c r="J249" s="9" t="s">
        <v>1011</v>
      </c>
      <c r="K249" s="2"/>
      <c r="L249" s="9" t="s">
        <v>1268</v>
      </c>
      <c r="M249" s="2"/>
      <c r="N249" s="2"/>
      <c r="O249" s="2"/>
      <c r="P249" s="2"/>
      <c r="Q249" s="2"/>
      <c r="R249" s="2"/>
      <c r="S249" s="2"/>
      <c r="T249" s="2"/>
      <c r="U249" s="2"/>
      <c r="V249" s="2"/>
      <c r="W249" s="2"/>
      <c r="X249" s="2"/>
      <c r="Y249" s="2"/>
      <c r="Z249" s="2"/>
    </row>
    <row r="250" ht="15.75" customHeight="1">
      <c r="A250" s="3" t="s">
        <v>1269</v>
      </c>
      <c r="B250" s="3" t="s">
        <v>375</v>
      </c>
      <c r="C250" s="37">
        <v>45933.0</v>
      </c>
      <c r="D250" s="3" t="s">
        <v>298</v>
      </c>
      <c r="E250" s="3" t="s">
        <v>1270</v>
      </c>
      <c r="F250" s="3" t="s">
        <v>1271</v>
      </c>
      <c r="G250" s="3" t="s">
        <v>1272</v>
      </c>
      <c r="H250" s="9" t="s">
        <v>1273</v>
      </c>
      <c r="I250" s="2"/>
      <c r="J250" s="2"/>
      <c r="K250" s="2"/>
      <c r="L250" s="2"/>
      <c r="M250" s="6" t="s">
        <v>1274</v>
      </c>
      <c r="N250" s="2"/>
      <c r="O250" s="2"/>
      <c r="P250" s="2"/>
      <c r="Q250" s="2"/>
      <c r="R250" s="2"/>
      <c r="S250" s="2"/>
      <c r="T250" s="2"/>
      <c r="U250" s="2"/>
      <c r="V250" s="2"/>
      <c r="W250" s="2"/>
      <c r="X250" s="2"/>
      <c r="Y250" s="2"/>
      <c r="Z250" s="2"/>
    </row>
    <row r="251" ht="15.75" customHeight="1">
      <c r="A251" s="3" t="s">
        <v>1275</v>
      </c>
      <c r="B251" s="3" t="s">
        <v>1276</v>
      </c>
      <c r="C251" s="37">
        <v>45933.0</v>
      </c>
      <c r="D251" s="3" t="s">
        <v>298</v>
      </c>
      <c r="E251" s="32" t="s">
        <v>1016</v>
      </c>
      <c r="F251" s="3" t="s">
        <v>534</v>
      </c>
      <c r="G251" s="3" t="s">
        <v>1277</v>
      </c>
      <c r="H251" s="3" t="s">
        <v>581</v>
      </c>
      <c r="I251" s="2"/>
      <c r="J251" s="2"/>
      <c r="K251" s="2"/>
      <c r="L251" s="9" t="s">
        <v>582</v>
      </c>
      <c r="M251" s="2"/>
      <c r="N251" s="2"/>
      <c r="O251" s="2"/>
      <c r="P251" s="2"/>
      <c r="Q251" s="2"/>
      <c r="R251" s="2"/>
      <c r="S251" s="2"/>
      <c r="T251" s="2"/>
      <c r="U251" s="2"/>
      <c r="V251" s="2"/>
      <c r="W251" s="2"/>
      <c r="X251" s="2"/>
      <c r="Y251" s="2"/>
      <c r="Z251" s="2"/>
    </row>
    <row r="252" ht="15.75" customHeight="1">
      <c r="A252" s="3" t="s">
        <v>1278</v>
      </c>
      <c r="B252" s="3" t="s">
        <v>1279</v>
      </c>
      <c r="C252" s="37">
        <v>45933.0</v>
      </c>
      <c r="D252" s="3" t="s">
        <v>298</v>
      </c>
      <c r="E252" s="3" t="s">
        <v>1280</v>
      </c>
      <c r="F252" s="3" t="s">
        <v>551</v>
      </c>
      <c r="G252" s="9" t="s">
        <v>1281</v>
      </c>
      <c r="H252" s="2"/>
      <c r="I252" s="2"/>
      <c r="J252" s="2"/>
      <c r="K252" s="2"/>
      <c r="L252" s="2"/>
      <c r="M252" s="2"/>
      <c r="N252" s="2"/>
      <c r="O252" s="2"/>
      <c r="P252" s="2"/>
      <c r="Q252" s="2"/>
      <c r="R252" s="2"/>
      <c r="S252" s="2"/>
      <c r="T252" s="2"/>
      <c r="U252" s="2"/>
      <c r="V252" s="2"/>
      <c r="W252" s="2"/>
      <c r="X252" s="2"/>
      <c r="Y252" s="2"/>
      <c r="Z252" s="2"/>
    </row>
    <row r="253" ht="15.75" customHeight="1">
      <c r="A253" s="3" t="s">
        <v>1282</v>
      </c>
      <c r="B253" s="3" t="s">
        <v>1283</v>
      </c>
      <c r="C253" s="37">
        <v>45934.0</v>
      </c>
      <c r="D253" s="3" t="s">
        <v>119</v>
      </c>
      <c r="E253" s="3" t="s">
        <v>1284</v>
      </c>
      <c r="F253" s="3" t="s">
        <v>1285</v>
      </c>
      <c r="G253" s="3" t="s">
        <v>1286</v>
      </c>
      <c r="H253" s="3" t="s">
        <v>1287</v>
      </c>
      <c r="I253" s="2"/>
      <c r="J253" s="2"/>
      <c r="K253" s="3" t="s">
        <v>1288</v>
      </c>
      <c r="L253" s="9" t="s">
        <v>1289</v>
      </c>
      <c r="M253" s="2"/>
      <c r="N253" s="2"/>
      <c r="O253" s="2"/>
      <c r="P253" s="2"/>
      <c r="Q253" s="2"/>
      <c r="R253" s="2"/>
      <c r="S253" s="2"/>
      <c r="T253" s="2"/>
      <c r="U253" s="2"/>
      <c r="V253" s="2"/>
      <c r="W253" s="2"/>
      <c r="X253" s="2"/>
      <c r="Y253" s="2"/>
      <c r="Z253" s="2"/>
    </row>
    <row r="254" ht="15.75" customHeight="1">
      <c r="A254" s="3" t="s">
        <v>1290</v>
      </c>
      <c r="B254" s="3" t="s">
        <v>375</v>
      </c>
      <c r="C254" s="37">
        <v>45934.0</v>
      </c>
      <c r="D254" s="3" t="s">
        <v>119</v>
      </c>
      <c r="E254" s="32" t="s">
        <v>1291</v>
      </c>
      <c r="F254" s="9" t="s">
        <v>1292</v>
      </c>
      <c r="G254" s="2"/>
      <c r="H254" s="3" t="s">
        <v>1293</v>
      </c>
      <c r="I254" s="3" t="s">
        <v>1294</v>
      </c>
      <c r="J254" s="3" t="s">
        <v>1295</v>
      </c>
      <c r="K254" s="3" t="s">
        <v>1296</v>
      </c>
      <c r="L254" s="9" t="s">
        <v>1297</v>
      </c>
      <c r="M254" s="2"/>
      <c r="N254" s="2"/>
      <c r="O254" s="2"/>
      <c r="P254" s="2"/>
      <c r="Q254" s="2"/>
      <c r="R254" s="2"/>
      <c r="S254" s="2"/>
      <c r="T254" s="2"/>
      <c r="U254" s="2"/>
      <c r="V254" s="2"/>
      <c r="W254" s="2"/>
      <c r="X254" s="2"/>
      <c r="Y254" s="2"/>
      <c r="Z254" s="2"/>
    </row>
    <row r="255" ht="15.75" customHeight="1">
      <c r="A255" s="3" t="s">
        <v>1298</v>
      </c>
      <c r="B255" s="3" t="s">
        <v>1299</v>
      </c>
      <c r="C255" s="37">
        <v>45934.0</v>
      </c>
      <c r="D255" s="3" t="s">
        <v>119</v>
      </c>
      <c r="E255" s="3" t="s">
        <v>1300</v>
      </c>
      <c r="F255" s="9" t="s">
        <v>1292</v>
      </c>
      <c r="G255" s="2"/>
      <c r="H255" s="3" t="s">
        <v>1301</v>
      </c>
      <c r="I255" s="3" t="s">
        <v>1294</v>
      </c>
      <c r="J255" s="3" t="s">
        <v>1295</v>
      </c>
      <c r="K255" s="3" t="s">
        <v>1296</v>
      </c>
      <c r="L255" s="9" t="s">
        <v>1297</v>
      </c>
      <c r="M255" s="2"/>
      <c r="N255" s="2"/>
      <c r="O255" s="2"/>
      <c r="P255" s="2"/>
      <c r="Q255" s="2"/>
      <c r="R255" s="2"/>
      <c r="S255" s="2"/>
      <c r="T255" s="2"/>
      <c r="U255" s="2"/>
      <c r="V255" s="2"/>
      <c r="W255" s="2"/>
      <c r="X255" s="2"/>
      <c r="Y255" s="2"/>
      <c r="Z255" s="2"/>
    </row>
    <row r="256" ht="15.75" customHeight="1">
      <c r="A256" s="3" t="s">
        <v>1302</v>
      </c>
      <c r="B256" s="3" t="s">
        <v>375</v>
      </c>
      <c r="C256" s="37">
        <v>45934.0</v>
      </c>
      <c r="D256" s="3" t="s">
        <v>119</v>
      </c>
      <c r="E256" s="32" t="s">
        <v>1303</v>
      </c>
      <c r="F256" s="3" t="s">
        <v>1304</v>
      </c>
      <c r="G256" s="3" t="s">
        <v>1305</v>
      </c>
      <c r="H256" s="9" t="s">
        <v>1306</v>
      </c>
      <c r="I256" s="2"/>
      <c r="J256" s="9" t="s">
        <v>1307</v>
      </c>
      <c r="K256" s="2"/>
      <c r="L256" s="9" t="s">
        <v>1308</v>
      </c>
      <c r="M256" s="2"/>
      <c r="N256" s="2"/>
      <c r="O256" s="2"/>
      <c r="P256" s="2"/>
      <c r="Q256" s="2"/>
      <c r="R256" s="2"/>
      <c r="S256" s="2"/>
      <c r="T256" s="2"/>
      <c r="U256" s="2"/>
      <c r="V256" s="2"/>
      <c r="W256" s="2"/>
      <c r="X256" s="2"/>
      <c r="Y256" s="2"/>
      <c r="Z256" s="2"/>
    </row>
    <row r="257" ht="15.75" customHeight="1">
      <c r="A257" s="3" t="s">
        <v>1309</v>
      </c>
      <c r="B257" s="3" t="s">
        <v>375</v>
      </c>
      <c r="C257" s="37">
        <v>45934.0</v>
      </c>
      <c r="D257" s="3" t="s">
        <v>119</v>
      </c>
      <c r="E257" s="3" t="s">
        <v>1303</v>
      </c>
      <c r="F257" s="3" t="s">
        <v>1007</v>
      </c>
      <c r="G257" s="3" t="s">
        <v>1310</v>
      </c>
      <c r="H257" s="3" t="s">
        <v>1311</v>
      </c>
      <c r="I257" s="3" t="s">
        <v>1010</v>
      </c>
      <c r="J257" s="9" t="s">
        <v>1011</v>
      </c>
      <c r="K257" s="2"/>
      <c r="L257" s="2"/>
      <c r="M257" s="2"/>
      <c r="N257" s="2"/>
      <c r="O257" s="2"/>
      <c r="P257" s="2"/>
      <c r="Q257" s="2"/>
      <c r="R257" s="2"/>
      <c r="S257" s="2"/>
      <c r="T257" s="2"/>
      <c r="U257" s="2"/>
      <c r="V257" s="2"/>
      <c r="W257" s="2"/>
      <c r="X257" s="2"/>
      <c r="Y257" s="2"/>
      <c r="Z257" s="2"/>
    </row>
    <row r="258" ht="15.75" customHeight="1">
      <c r="A258" s="3" t="s">
        <v>1312</v>
      </c>
      <c r="B258" s="3" t="s">
        <v>375</v>
      </c>
      <c r="C258" s="37">
        <v>45934.0</v>
      </c>
      <c r="D258" s="3" t="s">
        <v>119</v>
      </c>
      <c r="E258" s="3" t="s">
        <v>1313</v>
      </c>
      <c r="F258" s="3" t="s">
        <v>1007</v>
      </c>
      <c r="G258" s="3" t="s">
        <v>1314</v>
      </c>
      <c r="H258" s="3" t="s">
        <v>1315</v>
      </c>
      <c r="I258" s="3" t="s">
        <v>1010</v>
      </c>
      <c r="J258" s="9" t="s">
        <v>1011</v>
      </c>
      <c r="K258" s="2"/>
      <c r="L258" s="2"/>
      <c r="M258" s="2"/>
      <c r="N258" s="2"/>
      <c r="O258" s="2"/>
      <c r="P258" s="2"/>
      <c r="Q258" s="2"/>
      <c r="R258" s="2"/>
      <c r="S258" s="2"/>
      <c r="T258" s="2"/>
      <c r="U258" s="2"/>
      <c r="V258" s="2"/>
      <c r="W258" s="2"/>
      <c r="X258" s="2"/>
      <c r="Y258" s="2"/>
      <c r="Z258" s="2"/>
    </row>
    <row r="259" ht="15.75" customHeight="1">
      <c r="A259" s="3" t="s">
        <v>407</v>
      </c>
      <c r="B259" s="3" t="s">
        <v>1316</v>
      </c>
      <c r="C259" s="37">
        <v>45934.0</v>
      </c>
      <c r="D259" s="3" t="s">
        <v>119</v>
      </c>
      <c r="E259" s="5">
        <v>0.75</v>
      </c>
      <c r="F259" s="3" t="s">
        <v>850</v>
      </c>
      <c r="G259" s="3" t="s">
        <v>1317</v>
      </c>
      <c r="H259" s="3" t="s">
        <v>852</v>
      </c>
      <c r="I259" s="3" t="s">
        <v>853</v>
      </c>
      <c r="J259" s="2"/>
      <c r="K259" s="2"/>
      <c r="L259" s="9" t="s">
        <v>1318</v>
      </c>
      <c r="M259" s="2"/>
      <c r="N259" s="2"/>
      <c r="O259" s="2"/>
      <c r="P259" s="2"/>
      <c r="Q259" s="2"/>
      <c r="R259" s="2"/>
      <c r="S259" s="2"/>
      <c r="T259" s="2"/>
      <c r="U259" s="2"/>
      <c r="V259" s="2"/>
      <c r="W259" s="2"/>
      <c r="X259" s="2"/>
      <c r="Y259" s="2"/>
      <c r="Z259" s="2"/>
    </row>
    <row r="260" ht="15.75" customHeight="1">
      <c r="A260" s="3" t="s">
        <v>1319</v>
      </c>
      <c r="B260" s="3" t="s">
        <v>457</v>
      </c>
      <c r="C260" s="37">
        <v>45935.0</v>
      </c>
      <c r="D260" s="3" t="s">
        <v>92</v>
      </c>
      <c r="E260" s="32" t="s">
        <v>1320</v>
      </c>
      <c r="F260" s="3" t="s">
        <v>1321</v>
      </c>
      <c r="G260" s="3" t="s">
        <v>1322</v>
      </c>
      <c r="H260" s="3" t="s">
        <v>1323</v>
      </c>
      <c r="I260" s="3" t="s">
        <v>1324</v>
      </c>
      <c r="J260" s="9" t="s">
        <v>1325</v>
      </c>
      <c r="K260" s="2"/>
      <c r="L260" s="9" t="s">
        <v>1326</v>
      </c>
      <c r="M260" s="2"/>
      <c r="N260" s="2"/>
      <c r="O260" s="2"/>
      <c r="P260" s="2"/>
      <c r="Q260" s="2"/>
      <c r="R260" s="2"/>
      <c r="S260" s="2"/>
      <c r="T260" s="2"/>
      <c r="U260" s="2"/>
      <c r="V260" s="2"/>
      <c r="W260" s="2"/>
      <c r="X260" s="2"/>
      <c r="Y260" s="2"/>
      <c r="Z260" s="2"/>
    </row>
    <row r="261" ht="15.75" customHeight="1">
      <c r="A261" s="3" t="s">
        <v>522</v>
      </c>
      <c r="B261" s="3" t="s">
        <v>1327</v>
      </c>
      <c r="C261" s="37">
        <v>45936.0</v>
      </c>
      <c r="D261" s="3" t="s">
        <v>268</v>
      </c>
      <c r="E261" s="32" t="s">
        <v>1328</v>
      </c>
      <c r="F261" s="3" t="s">
        <v>525</v>
      </c>
      <c r="G261" s="3" t="s">
        <v>1329</v>
      </c>
      <c r="H261" s="9" t="s">
        <v>1330</v>
      </c>
      <c r="I261" s="2"/>
      <c r="J261" s="2"/>
      <c r="K261" s="2"/>
      <c r="L261" s="2"/>
      <c r="M261" s="2"/>
      <c r="N261" s="2"/>
      <c r="O261" s="2"/>
      <c r="P261" s="2"/>
      <c r="Q261" s="2"/>
      <c r="R261" s="2"/>
      <c r="S261" s="2"/>
      <c r="T261" s="2"/>
      <c r="U261" s="2"/>
      <c r="V261" s="2"/>
      <c r="W261" s="2"/>
      <c r="X261" s="2"/>
      <c r="Y261" s="2"/>
      <c r="Z261" s="2"/>
    </row>
    <row r="262" ht="15.75" customHeight="1">
      <c r="A262" s="3" t="s">
        <v>1331</v>
      </c>
      <c r="B262" s="3" t="s">
        <v>1332</v>
      </c>
      <c r="C262" s="37">
        <v>45936.0</v>
      </c>
      <c r="D262" s="3" t="s">
        <v>268</v>
      </c>
      <c r="E262" s="5">
        <v>0.6666666666666666</v>
      </c>
      <c r="F262" s="3" t="s">
        <v>534</v>
      </c>
      <c r="G262" s="3" t="s">
        <v>1333</v>
      </c>
      <c r="H262" s="3" t="s">
        <v>1334</v>
      </c>
      <c r="I262" s="2"/>
      <c r="J262" s="2"/>
      <c r="K262" s="2"/>
      <c r="L262" s="2"/>
      <c r="M262" s="2"/>
      <c r="N262" s="2"/>
      <c r="O262" s="2"/>
      <c r="P262" s="2"/>
      <c r="Q262" s="2"/>
      <c r="R262" s="2"/>
      <c r="S262" s="2"/>
      <c r="T262" s="2"/>
      <c r="U262" s="2"/>
      <c r="V262" s="2"/>
      <c r="W262" s="2"/>
      <c r="X262" s="2"/>
      <c r="Y262" s="2"/>
      <c r="Z262" s="2"/>
    </row>
    <row r="263" ht="15.75" customHeight="1">
      <c r="A263" s="3" t="s">
        <v>544</v>
      </c>
      <c r="B263" s="3" t="s">
        <v>1335</v>
      </c>
      <c r="C263" s="37">
        <v>45936.0</v>
      </c>
      <c r="D263" s="3" t="s">
        <v>268</v>
      </c>
      <c r="E263" s="3" t="s">
        <v>1336</v>
      </c>
      <c r="F263" s="9" t="s">
        <v>1337</v>
      </c>
      <c r="G263" s="2"/>
      <c r="H263" s="2"/>
      <c r="I263" s="2"/>
      <c r="J263" s="2"/>
      <c r="K263" s="2"/>
      <c r="L263" s="2"/>
      <c r="M263" s="2"/>
      <c r="N263" s="2"/>
      <c r="O263" s="2"/>
      <c r="P263" s="2"/>
      <c r="Q263" s="2"/>
      <c r="R263" s="2"/>
      <c r="S263" s="2"/>
      <c r="T263" s="2"/>
      <c r="U263" s="2"/>
      <c r="V263" s="2"/>
      <c r="W263" s="2"/>
      <c r="X263" s="2"/>
      <c r="Y263" s="2"/>
      <c r="Z263" s="2"/>
    </row>
    <row r="264" ht="15.75" customHeight="1">
      <c r="A264" s="3" t="s">
        <v>1338</v>
      </c>
      <c r="B264" s="3" t="s">
        <v>1113</v>
      </c>
      <c r="C264" s="37">
        <v>45936.0</v>
      </c>
      <c r="D264" s="3" t="s">
        <v>268</v>
      </c>
      <c r="E264" s="5">
        <v>0.8333333333333334</v>
      </c>
      <c r="F264" s="3" t="s">
        <v>1339</v>
      </c>
      <c r="G264" s="3" t="s">
        <v>1340</v>
      </c>
      <c r="H264" s="3" t="s">
        <v>1341</v>
      </c>
      <c r="I264" s="2"/>
      <c r="J264" s="3" t="s">
        <v>1342</v>
      </c>
      <c r="K264" s="9" t="s">
        <v>1343</v>
      </c>
      <c r="L264" s="2"/>
      <c r="M264" s="2"/>
      <c r="N264" s="2"/>
      <c r="O264" s="2"/>
      <c r="P264" s="2"/>
      <c r="Q264" s="2"/>
      <c r="R264" s="2"/>
      <c r="S264" s="2"/>
      <c r="T264" s="2"/>
      <c r="U264" s="2"/>
      <c r="V264" s="2"/>
      <c r="W264" s="2"/>
      <c r="X264" s="2"/>
      <c r="Y264" s="2"/>
      <c r="Z264" s="2"/>
    </row>
    <row r="265" ht="15.75" customHeight="1">
      <c r="A265" s="3" t="s">
        <v>1344</v>
      </c>
      <c r="B265" s="3" t="s">
        <v>1345</v>
      </c>
      <c r="C265" s="36" t="s">
        <v>1346</v>
      </c>
      <c r="D265" s="33" t="s">
        <v>1347</v>
      </c>
      <c r="E265" s="3" t="s">
        <v>1126</v>
      </c>
      <c r="F265" s="3" t="s">
        <v>1348</v>
      </c>
      <c r="G265" s="3" t="s">
        <v>1349</v>
      </c>
      <c r="H265" s="9" t="s">
        <v>1350</v>
      </c>
      <c r="I265" s="2"/>
      <c r="J265" s="9" t="s">
        <v>1351</v>
      </c>
      <c r="K265" s="2"/>
      <c r="L265" s="2"/>
      <c r="M265" s="6" t="s">
        <v>1352</v>
      </c>
      <c r="N265" s="2"/>
      <c r="O265" s="2"/>
      <c r="P265" s="2"/>
      <c r="Q265" s="2"/>
      <c r="R265" s="2"/>
      <c r="S265" s="2"/>
      <c r="T265" s="2"/>
      <c r="U265" s="2"/>
      <c r="V265" s="2"/>
      <c r="W265" s="2"/>
      <c r="X265" s="2"/>
      <c r="Y265" s="2"/>
      <c r="Z265" s="2"/>
    </row>
    <row r="266" ht="15.75" customHeight="1">
      <c r="A266" s="3" t="s">
        <v>1353</v>
      </c>
      <c r="B266" s="3" t="s">
        <v>1354</v>
      </c>
      <c r="C266" s="36" t="s">
        <v>1355</v>
      </c>
      <c r="D266" s="33" t="s">
        <v>1356</v>
      </c>
      <c r="E266" s="32" t="s">
        <v>1357</v>
      </c>
      <c r="F266" s="3" t="s">
        <v>1244</v>
      </c>
      <c r="G266" s="3" t="s">
        <v>1358</v>
      </c>
      <c r="H266" s="3" t="s">
        <v>1359</v>
      </c>
      <c r="I266" s="3" t="s">
        <v>1247</v>
      </c>
      <c r="J266" s="9" t="s">
        <v>1248</v>
      </c>
      <c r="K266" s="2"/>
      <c r="L266" s="3" t="s">
        <v>1360</v>
      </c>
      <c r="M266" s="6" t="s">
        <v>276</v>
      </c>
      <c r="N266" s="2"/>
      <c r="O266" s="2"/>
      <c r="P266" s="2"/>
      <c r="Q266" s="2"/>
      <c r="R266" s="2"/>
      <c r="S266" s="2"/>
      <c r="T266" s="2"/>
      <c r="U266" s="2"/>
      <c r="V266" s="2"/>
      <c r="W266" s="2"/>
      <c r="X266" s="2"/>
      <c r="Y266" s="2"/>
      <c r="Z266" s="2"/>
    </row>
    <row r="267" ht="15.75" customHeight="1">
      <c r="A267" s="3" t="s">
        <v>55</v>
      </c>
      <c r="B267" s="3" t="s">
        <v>375</v>
      </c>
      <c r="C267" s="37">
        <v>45937.0</v>
      </c>
      <c r="D267" s="3" t="s">
        <v>47</v>
      </c>
      <c r="E267" s="3" t="s">
        <v>1361</v>
      </c>
      <c r="F267" s="3" t="s">
        <v>927</v>
      </c>
      <c r="G267" s="3" t="s">
        <v>1362</v>
      </c>
      <c r="H267" s="3" t="s">
        <v>1363</v>
      </c>
      <c r="I267" s="3" t="s">
        <v>930</v>
      </c>
      <c r="J267" s="3" t="s">
        <v>931</v>
      </c>
      <c r="K267" s="3" t="s">
        <v>932</v>
      </c>
      <c r="L267" s="9" t="s">
        <v>1004</v>
      </c>
      <c r="M267" s="2"/>
      <c r="N267" s="2"/>
      <c r="O267" s="2"/>
      <c r="P267" s="2"/>
      <c r="Q267" s="2"/>
      <c r="R267" s="2"/>
      <c r="S267" s="2"/>
      <c r="T267" s="2"/>
      <c r="U267" s="2"/>
      <c r="V267" s="2"/>
      <c r="W267" s="2"/>
      <c r="X267" s="2"/>
      <c r="Y267" s="2"/>
      <c r="Z267" s="2"/>
    </row>
    <row r="268" ht="15.75" customHeight="1">
      <c r="A268" s="3" t="s">
        <v>1364</v>
      </c>
      <c r="B268" s="3" t="s">
        <v>1113</v>
      </c>
      <c r="C268" s="37">
        <v>45937.0</v>
      </c>
      <c r="D268" s="3" t="s">
        <v>47</v>
      </c>
      <c r="E268" s="5">
        <v>0.8333333333333334</v>
      </c>
      <c r="F268" s="3" t="s">
        <v>1339</v>
      </c>
      <c r="G268" s="3" t="s">
        <v>1365</v>
      </c>
      <c r="H268" s="3" t="s">
        <v>1341</v>
      </c>
      <c r="I268" s="2"/>
      <c r="J268" s="3" t="s">
        <v>1342</v>
      </c>
      <c r="K268" s="9" t="s">
        <v>1343</v>
      </c>
      <c r="L268" s="2"/>
      <c r="M268" s="2"/>
      <c r="N268" s="2"/>
      <c r="O268" s="2"/>
      <c r="P268" s="2"/>
      <c r="Q268" s="2"/>
      <c r="R268" s="2"/>
      <c r="S268" s="2"/>
      <c r="T268" s="2"/>
      <c r="U268" s="2"/>
      <c r="V268" s="2"/>
      <c r="W268" s="2"/>
      <c r="X268" s="2"/>
      <c r="Y268" s="2"/>
      <c r="Z268" s="2"/>
    </row>
    <row r="269" ht="15.75" customHeight="1">
      <c r="A269" s="3" t="s">
        <v>1366</v>
      </c>
      <c r="B269" s="3" t="s">
        <v>1113</v>
      </c>
      <c r="C269" s="37">
        <v>45938.0</v>
      </c>
      <c r="D269" s="3" t="s">
        <v>20</v>
      </c>
      <c r="E269" s="5">
        <v>0.8333333333333334</v>
      </c>
      <c r="F269" s="3" t="s">
        <v>1339</v>
      </c>
      <c r="G269" s="3" t="s">
        <v>1367</v>
      </c>
      <c r="H269" s="3" t="s">
        <v>1341</v>
      </c>
      <c r="I269" s="2"/>
      <c r="J269" s="3" t="s">
        <v>1342</v>
      </c>
      <c r="K269" s="9" t="s">
        <v>1343</v>
      </c>
      <c r="L269" s="2"/>
      <c r="M269" s="2"/>
      <c r="N269" s="2"/>
      <c r="O269" s="2"/>
      <c r="P269" s="2"/>
      <c r="Q269" s="2"/>
      <c r="R269" s="2"/>
      <c r="S269" s="2"/>
      <c r="T269" s="2"/>
      <c r="U269" s="2"/>
      <c r="V269" s="2"/>
      <c r="W269" s="2"/>
      <c r="X269" s="2"/>
      <c r="Y269" s="2"/>
      <c r="Z269" s="2"/>
    </row>
    <row r="270" ht="15.75" customHeight="1">
      <c r="A270" s="3" t="s">
        <v>584</v>
      </c>
      <c r="B270" s="3" t="s">
        <v>1368</v>
      </c>
      <c r="C270" s="37">
        <v>45938.0</v>
      </c>
      <c r="D270" s="3" t="s">
        <v>20</v>
      </c>
      <c r="E270" s="5">
        <v>0.6805555555555556</v>
      </c>
      <c r="F270" s="3" t="s">
        <v>586</v>
      </c>
      <c r="G270" s="3" t="s">
        <v>1369</v>
      </c>
      <c r="H270" s="3" t="s">
        <v>588</v>
      </c>
      <c r="I270" s="2"/>
      <c r="J270" s="9" t="s">
        <v>589</v>
      </c>
      <c r="K270" s="2"/>
      <c r="L270" s="9" t="s">
        <v>1370</v>
      </c>
      <c r="M270" s="2"/>
      <c r="N270" s="2"/>
      <c r="O270" s="2"/>
      <c r="P270" s="2"/>
      <c r="Q270" s="2"/>
      <c r="R270" s="2"/>
      <c r="S270" s="2"/>
      <c r="T270" s="2"/>
      <c r="U270" s="2"/>
      <c r="V270" s="2"/>
      <c r="W270" s="2"/>
      <c r="X270" s="2"/>
      <c r="Y270" s="2"/>
      <c r="Z270" s="2"/>
    </row>
    <row r="271" ht="15.75" customHeight="1">
      <c r="A271" s="3" t="s">
        <v>680</v>
      </c>
      <c r="B271" s="3" t="s">
        <v>1371</v>
      </c>
      <c r="C271" s="37">
        <v>45939.0</v>
      </c>
      <c r="D271" s="3" t="s">
        <v>88</v>
      </c>
      <c r="E271" s="3" t="s">
        <v>1372</v>
      </c>
      <c r="F271" s="9" t="s">
        <v>683</v>
      </c>
      <c r="G271" s="2"/>
      <c r="H271" s="3" t="s">
        <v>684</v>
      </c>
      <c r="I271" s="2"/>
      <c r="J271" s="2"/>
      <c r="K271" s="2"/>
      <c r="L271" s="2"/>
      <c r="M271" s="2"/>
      <c r="N271" s="2"/>
      <c r="O271" s="2"/>
      <c r="P271" s="2"/>
      <c r="Q271" s="2"/>
      <c r="R271" s="2"/>
      <c r="S271" s="2"/>
      <c r="T271" s="2"/>
      <c r="U271" s="2"/>
      <c r="V271" s="2"/>
      <c r="W271" s="2"/>
      <c r="X271" s="2"/>
      <c r="Y271" s="2"/>
      <c r="Z271" s="2"/>
    </row>
    <row r="272" ht="15.75" customHeight="1">
      <c r="A272" s="3" t="s">
        <v>1373</v>
      </c>
      <c r="B272" s="3" t="s">
        <v>1113</v>
      </c>
      <c r="C272" s="37">
        <v>45939.0</v>
      </c>
      <c r="D272" s="3" t="s">
        <v>88</v>
      </c>
      <c r="E272" s="5">
        <v>0.8333333333333334</v>
      </c>
      <c r="F272" s="3" t="s">
        <v>1339</v>
      </c>
      <c r="G272" s="3" t="s">
        <v>1374</v>
      </c>
      <c r="H272" s="3" t="s">
        <v>1341</v>
      </c>
      <c r="I272" s="2"/>
      <c r="J272" s="3" t="s">
        <v>1342</v>
      </c>
      <c r="K272" s="9" t="s">
        <v>1343</v>
      </c>
      <c r="L272" s="2"/>
      <c r="M272" s="2"/>
      <c r="N272" s="2"/>
      <c r="O272" s="2"/>
      <c r="P272" s="2"/>
      <c r="Q272" s="2"/>
      <c r="R272" s="2"/>
      <c r="S272" s="2"/>
      <c r="T272" s="2"/>
      <c r="U272" s="2"/>
      <c r="V272" s="2"/>
      <c r="W272" s="2"/>
      <c r="X272" s="2"/>
      <c r="Y272" s="2"/>
      <c r="Z272" s="2"/>
    </row>
    <row r="273" ht="15.75" customHeight="1">
      <c r="A273" s="3" t="s">
        <v>1375</v>
      </c>
      <c r="B273" s="3" t="s">
        <v>1279</v>
      </c>
      <c r="C273" s="37">
        <v>45940.0</v>
      </c>
      <c r="D273" s="3" t="s">
        <v>298</v>
      </c>
      <c r="E273" s="3" t="s">
        <v>1126</v>
      </c>
      <c r="F273" s="3" t="s">
        <v>534</v>
      </c>
      <c r="G273" s="9" t="s">
        <v>1376</v>
      </c>
      <c r="H273" s="2"/>
      <c r="I273" s="2"/>
      <c r="J273" s="2"/>
      <c r="K273" s="2"/>
      <c r="L273" s="2"/>
      <c r="M273" s="2"/>
      <c r="N273" s="2"/>
      <c r="O273" s="2"/>
      <c r="P273" s="2"/>
      <c r="Q273" s="2"/>
      <c r="R273" s="2"/>
      <c r="S273" s="2"/>
      <c r="T273" s="2"/>
      <c r="U273" s="2"/>
      <c r="V273" s="2"/>
      <c r="W273" s="2"/>
      <c r="X273" s="2"/>
      <c r="Y273" s="2"/>
      <c r="Z273" s="2"/>
    </row>
    <row r="274" ht="15.75" customHeight="1">
      <c r="A274" s="3" t="s">
        <v>1377</v>
      </c>
      <c r="B274" s="3" t="s">
        <v>1378</v>
      </c>
      <c r="C274" s="37">
        <v>45940.0</v>
      </c>
      <c r="D274" s="3" t="s">
        <v>298</v>
      </c>
      <c r="E274" s="5">
        <v>0.7083333333333334</v>
      </c>
      <c r="F274" s="3" t="s">
        <v>1126</v>
      </c>
      <c r="G274" s="3" t="s">
        <v>1379</v>
      </c>
      <c r="H274" s="3" t="s">
        <v>1380</v>
      </c>
      <c r="I274" s="2"/>
      <c r="J274" s="2"/>
      <c r="K274" s="2"/>
      <c r="L274" s="2"/>
      <c r="M274" s="2"/>
      <c r="N274" s="2"/>
      <c r="O274" s="2"/>
      <c r="P274" s="2"/>
      <c r="Q274" s="2"/>
      <c r="R274" s="2"/>
      <c r="S274" s="2"/>
      <c r="T274" s="2"/>
      <c r="U274" s="2"/>
      <c r="V274" s="2"/>
      <c r="W274" s="2"/>
      <c r="X274" s="2"/>
      <c r="Y274" s="2"/>
      <c r="Z274" s="2"/>
    </row>
    <row r="275" ht="15.75" customHeight="1">
      <c r="A275" s="3" t="s">
        <v>1381</v>
      </c>
      <c r="B275" s="3" t="s">
        <v>1382</v>
      </c>
      <c r="C275" s="37">
        <v>45940.0</v>
      </c>
      <c r="D275" s="3" t="s">
        <v>298</v>
      </c>
      <c r="E275" s="32" t="s">
        <v>1029</v>
      </c>
      <c r="F275" s="3" t="s">
        <v>204</v>
      </c>
      <c r="G275" s="3" t="s">
        <v>1383</v>
      </c>
      <c r="H275" s="3" t="s">
        <v>1384</v>
      </c>
      <c r="I275" s="3" t="s">
        <v>1385</v>
      </c>
      <c r="J275" s="9" t="s">
        <v>1386</v>
      </c>
      <c r="K275" s="2"/>
      <c r="L275" s="2"/>
      <c r="M275" s="2"/>
      <c r="N275" s="2"/>
      <c r="O275" s="2"/>
      <c r="P275" s="2"/>
      <c r="Q275" s="2"/>
      <c r="R275" s="2"/>
      <c r="S275" s="2"/>
      <c r="T275" s="2"/>
      <c r="U275" s="2"/>
      <c r="V275" s="2"/>
      <c r="W275" s="2"/>
      <c r="X275" s="2"/>
      <c r="Y275" s="2"/>
      <c r="Z275" s="2"/>
    </row>
    <row r="276" ht="15.75" customHeight="1">
      <c r="A276" s="3" t="s">
        <v>1387</v>
      </c>
      <c r="B276" s="3" t="s">
        <v>375</v>
      </c>
      <c r="C276" s="36" t="s">
        <v>1388</v>
      </c>
      <c r="D276" s="3" t="s">
        <v>1389</v>
      </c>
      <c r="E276" s="3" t="s">
        <v>1390</v>
      </c>
      <c r="F276" s="3" t="s">
        <v>1391</v>
      </c>
      <c r="G276" s="3" t="s">
        <v>1392</v>
      </c>
      <c r="H276" s="3" t="s">
        <v>1393</v>
      </c>
      <c r="I276" s="3" t="s">
        <v>1394</v>
      </c>
      <c r="J276" s="2"/>
      <c r="K276" s="3" t="s">
        <v>209</v>
      </c>
      <c r="L276" s="9" t="s">
        <v>1395</v>
      </c>
      <c r="M276" s="2"/>
      <c r="N276" s="2"/>
      <c r="O276" s="2"/>
      <c r="P276" s="2"/>
      <c r="Q276" s="2"/>
      <c r="R276" s="2"/>
      <c r="S276" s="2"/>
      <c r="T276" s="2"/>
      <c r="U276" s="2"/>
      <c r="V276" s="2"/>
      <c r="W276" s="2"/>
      <c r="X276" s="2"/>
      <c r="Y276" s="2"/>
      <c r="Z276" s="2"/>
    </row>
    <row r="277" ht="15.75" customHeight="1">
      <c r="A277" s="3" t="s">
        <v>1396</v>
      </c>
      <c r="B277" s="3" t="s">
        <v>1327</v>
      </c>
      <c r="C277" s="37">
        <v>45941.0</v>
      </c>
      <c r="D277" s="3" t="s">
        <v>119</v>
      </c>
      <c r="E277" s="5">
        <v>0.8125</v>
      </c>
      <c r="F277" s="3" t="s">
        <v>1159</v>
      </c>
      <c r="G277" s="3" t="s">
        <v>1397</v>
      </c>
      <c r="H277" s="9" t="s">
        <v>1398</v>
      </c>
      <c r="I277" s="2"/>
      <c r="J277" s="2"/>
      <c r="K277" s="9" t="s">
        <v>1399</v>
      </c>
      <c r="L277" s="2"/>
      <c r="M277" s="2"/>
      <c r="N277" s="2"/>
      <c r="O277" s="2"/>
      <c r="P277" s="2"/>
      <c r="Q277" s="2"/>
      <c r="R277" s="2"/>
      <c r="S277" s="2"/>
      <c r="T277" s="2"/>
      <c r="U277" s="2"/>
      <c r="V277" s="2"/>
      <c r="W277" s="2"/>
      <c r="X277" s="2"/>
      <c r="Y277" s="2"/>
      <c r="Z277" s="2"/>
    </row>
    <row r="278" ht="15.75" customHeight="1">
      <c r="A278" s="3" t="s">
        <v>1400</v>
      </c>
      <c r="B278" s="3" t="s">
        <v>375</v>
      </c>
      <c r="C278" s="37">
        <v>45941.0</v>
      </c>
      <c r="D278" s="3" t="s">
        <v>119</v>
      </c>
      <c r="E278" s="3" t="s">
        <v>1401</v>
      </c>
      <c r="F278" s="3" t="s">
        <v>1402</v>
      </c>
      <c r="G278" s="3" t="s">
        <v>1403</v>
      </c>
      <c r="H278" s="3" t="s">
        <v>1404</v>
      </c>
      <c r="I278" s="2"/>
      <c r="J278" s="9" t="s">
        <v>1405</v>
      </c>
      <c r="K278" s="2"/>
      <c r="L278" s="2"/>
      <c r="M278" s="6" t="s">
        <v>1406</v>
      </c>
      <c r="N278" s="2"/>
      <c r="O278" s="2"/>
      <c r="P278" s="2"/>
      <c r="Q278" s="2"/>
      <c r="R278" s="2"/>
      <c r="S278" s="2"/>
      <c r="T278" s="2"/>
      <c r="U278" s="2"/>
      <c r="V278" s="2"/>
      <c r="W278" s="2"/>
      <c r="X278" s="2"/>
      <c r="Y278" s="2"/>
      <c r="Z278" s="2"/>
    </row>
    <row r="279" ht="15.75" customHeight="1">
      <c r="A279" s="3" t="s">
        <v>1407</v>
      </c>
      <c r="B279" s="3" t="s">
        <v>375</v>
      </c>
      <c r="C279" s="37">
        <v>45941.0</v>
      </c>
      <c r="D279" s="3" t="s">
        <v>119</v>
      </c>
      <c r="E279" s="32" t="s">
        <v>1408</v>
      </c>
      <c r="F279" s="3" t="s">
        <v>1409</v>
      </c>
      <c r="G279" s="3" t="s">
        <v>1410</v>
      </c>
      <c r="H279" s="3" t="s">
        <v>1411</v>
      </c>
      <c r="I279" s="9" t="s">
        <v>1412</v>
      </c>
      <c r="J279" s="2"/>
      <c r="K279" s="3" t="s">
        <v>1413</v>
      </c>
      <c r="L279" s="9" t="s">
        <v>1414</v>
      </c>
      <c r="M279" s="2"/>
      <c r="N279" s="2"/>
      <c r="O279" s="2"/>
      <c r="P279" s="2"/>
      <c r="Q279" s="2"/>
      <c r="R279" s="2"/>
      <c r="S279" s="2"/>
      <c r="T279" s="2"/>
      <c r="U279" s="2"/>
      <c r="V279" s="2"/>
      <c r="W279" s="2"/>
      <c r="X279" s="2"/>
      <c r="Y279" s="2"/>
      <c r="Z279" s="2"/>
    </row>
    <row r="280" ht="15.75" customHeight="1">
      <c r="A280" s="3" t="s">
        <v>1001</v>
      </c>
      <c r="B280" s="3" t="s">
        <v>1415</v>
      </c>
      <c r="C280" s="37">
        <v>45941.0</v>
      </c>
      <c r="D280" s="3" t="s">
        <v>119</v>
      </c>
      <c r="E280" s="32" t="s">
        <v>1361</v>
      </c>
      <c r="F280" s="3" t="s">
        <v>927</v>
      </c>
      <c r="G280" s="3" t="s">
        <v>1416</v>
      </c>
      <c r="H280" s="3" t="s">
        <v>1363</v>
      </c>
      <c r="I280" s="3" t="s">
        <v>930</v>
      </c>
      <c r="J280" s="3" t="s">
        <v>931</v>
      </c>
      <c r="K280" s="3" t="s">
        <v>932</v>
      </c>
      <c r="L280" s="9" t="s">
        <v>1004</v>
      </c>
      <c r="M280" s="2"/>
      <c r="N280" s="2"/>
      <c r="O280" s="2"/>
      <c r="P280" s="2"/>
      <c r="Q280" s="2"/>
      <c r="R280" s="2"/>
      <c r="S280" s="2"/>
      <c r="T280" s="2"/>
      <c r="U280" s="2"/>
      <c r="V280" s="2"/>
      <c r="W280" s="2"/>
      <c r="X280" s="2"/>
      <c r="Y280" s="2"/>
      <c r="Z280" s="2"/>
    </row>
    <row r="281" ht="15.75" customHeight="1">
      <c r="A281" s="3" t="s">
        <v>1417</v>
      </c>
      <c r="B281" s="3" t="s">
        <v>375</v>
      </c>
      <c r="C281" s="37">
        <v>45941.0</v>
      </c>
      <c r="D281" s="3" t="s">
        <v>119</v>
      </c>
      <c r="E281" s="32" t="s">
        <v>1418</v>
      </c>
      <c r="F281" s="3" t="s">
        <v>1007</v>
      </c>
      <c r="G281" s="3" t="s">
        <v>1419</v>
      </c>
      <c r="H281" s="3" t="s">
        <v>1026</v>
      </c>
      <c r="I281" s="3" t="s">
        <v>1010</v>
      </c>
      <c r="J281" s="9" t="s">
        <v>1011</v>
      </c>
      <c r="K281" s="2"/>
      <c r="L281" s="2"/>
      <c r="M281" s="2"/>
      <c r="N281" s="2"/>
      <c r="O281" s="2"/>
      <c r="P281" s="2"/>
      <c r="Q281" s="2"/>
      <c r="R281" s="2"/>
      <c r="S281" s="2"/>
      <c r="T281" s="2"/>
      <c r="U281" s="2"/>
      <c r="V281" s="2"/>
      <c r="W281" s="2"/>
      <c r="X281" s="2"/>
      <c r="Y281" s="2"/>
      <c r="Z281" s="2"/>
    </row>
    <row r="282" ht="15.75" customHeight="1">
      <c r="A282" s="3" t="s">
        <v>1420</v>
      </c>
      <c r="B282" s="3" t="s">
        <v>375</v>
      </c>
      <c r="C282" s="37">
        <v>45941.0</v>
      </c>
      <c r="D282" s="3" t="s">
        <v>119</v>
      </c>
      <c r="E282" s="3" t="s">
        <v>1421</v>
      </c>
      <c r="F282" s="3" t="s">
        <v>1007</v>
      </c>
      <c r="G282" s="3" t="s">
        <v>1422</v>
      </c>
      <c r="H282" s="3" t="s">
        <v>134</v>
      </c>
      <c r="I282" s="3" t="s">
        <v>1010</v>
      </c>
      <c r="J282" s="9" t="s">
        <v>1011</v>
      </c>
      <c r="K282" s="2"/>
      <c r="L282" s="2"/>
      <c r="M282" s="2"/>
      <c r="N282" s="2"/>
      <c r="O282" s="2"/>
      <c r="P282" s="2"/>
      <c r="Q282" s="2"/>
      <c r="R282" s="2"/>
      <c r="S282" s="2"/>
      <c r="T282" s="2"/>
      <c r="U282" s="2"/>
      <c r="V282" s="2"/>
      <c r="W282" s="2"/>
      <c r="X282" s="2"/>
      <c r="Y282" s="2"/>
      <c r="Z282" s="2"/>
    </row>
    <row r="283" ht="15.75" customHeight="1">
      <c r="A283" s="3" t="s">
        <v>1423</v>
      </c>
      <c r="B283" s="3" t="s">
        <v>1113</v>
      </c>
      <c r="C283" s="37">
        <v>45941.0</v>
      </c>
      <c r="D283" s="3" t="s">
        <v>119</v>
      </c>
      <c r="E283" s="5">
        <v>0.8333333333333334</v>
      </c>
      <c r="F283" s="3" t="s">
        <v>1339</v>
      </c>
      <c r="G283" s="3" t="s">
        <v>1424</v>
      </c>
      <c r="H283" s="3" t="s">
        <v>1341</v>
      </c>
      <c r="I283" s="2"/>
      <c r="J283" s="3" t="s">
        <v>1342</v>
      </c>
      <c r="K283" s="9" t="s">
        <v>1343</v>
      </c>
      <c r="L283" s="2"/>
      <c r="M283" s="2"/>
      <c r="N283" s="2"/>
      <c r="O283" s="2"/>
      <c r="P283" s="2"/>
      <c r="Q283" s="2"/>
      <c r="R283" s="2"/>
      <c r="S283" s="2"/>
      <c r="T283" s="2"/>
      <c r="U283" s="2"/>
      <c r="V283" s="2"/>
      <c r="W283" s="2"/>
      <c r="X283" s="2"/>
      <c r="Y283" s="2"/>
      <c r="Z283" s="2"/>
    </row>
    <row r="284" ht="15.75" customHeight="1">
      <c r="A284" s="3" t="s">
        <v>1425</v>
      </c>
      <c r="B284" s="3" t="s">
        <v>1426</v>
      </c>
      <c r="C284" s="37">
        <v>45942.0</v>
      </c>
      <c r="D284" s="3" t="s">
        <v>92</v>
      </c>
      <c r="E284" s="3" t="s">
        <v>1427</v>
      </c>
      <c r="F284" s="3" t="s">
        <v>1428</v>
      </c>
      <c r="G284" s="3" t="s">
        <v>1429</v>
      </c>
      <c r="H284" s="3" t="s">
        <v>1430</v>
      </c>
      <c r="I284" s="3" t="s">
        <v>1431</v>
      </c>
      <c r="J284" s="2"/>
      <c r="K284" s="3" t="s">
        <v>1432</v>
      </c>
      <c r="L284" s="3" t="s">
        <v>1433</v>
      </c>
      <c r="M284" s="6" t="s">
        <v>1434</v>
      </c>
      <c r="N284" s="2"/>
      <c r="O284" s="2"/>
      <c r="P284" s="2"/>
      <c r="Q284" s="2"/>
      <c r="R284" s="2"/>
      <c r="S284" s="2"/>
      <c r="T284" s="2"/>
      <c r="U284" s="2"/>
      <c r="V284" s="2"/>
      <c r="W284" s="2"/>
      <c r="X284" s="2"/>
      <c r="Y284" s="2"/>
      <c r="Z284" s="2"/>
    </row>
    <row r="285" ht="15.75" customHeight="1">
      <c r="A285" s="3" t="s">
        <v>1435</v>
      </c>
      <c r="B285" s="3" t="s">
        <v>1436</v>
      </c>
      <c r="C285" s="37">
        <v>45942.0</v>
      </c>
      <c r="D285" s="3" t="s">
        <v>92</v>
      </c>
      <c r="E285" s="5">
        <v>0.8125</v>
      </c>
      <c r="F285" s="3" t="s">
        <v>1159</v>
      </c>
      <c r="G285" s="3" t="s">
        <v>1437</v>
      </c>
      <c r="H285" s="9" t="s">
        <v>1438</v>
      </c>
      <c r="I285" s="2"/>
      <c r="J285" s="2"/>
      <c r="K285" s="9" t="s">
        <v>1399</v>
      </c>
      <c r="L285" s="2"/>
      <c r="M285" s="2"/>
      <c r="N285" s="2"/>
      <c r="O285" s="2"/>
      <c r="P285" s="2"/>
      <c r="Q285" s="2"/>
      <c r="R285" s="2"/>
      <c r="S285" s="2"/>
      <c r="T285" s="2"/>
      <c r="U285" s="2"/>
      <c r="V285" s="2"/>
      <c r="W285" s="2"/>
      <c r="X285" s="2"/>
      <c r="Y285" s="2"/>
      <c r="Z285" s="2"/>
    </row>
    <row r="286" ht="15.75" customHeight="1">
      <c r="A286" s="3" t="s">
        <v>1439</v>
      </c>
      <c r="B286" s="3" t="s">
        <v>375</v>
      </c>
      <c r="C286" s="37">
        <v>45942.0</v>
      </c>
      <c r="D286" s="3" t="s">
        <v>92</v>
      </c>
      <c r="E286" s="3" t="s">
        <v>1141</v>
      </c>
      <c r="F286" s="3" t="s">
        <v>1204</v>
      </c>
      <c r="G286" s="3" t="s">
        <v>1440</v>
      </c>
      <c r="H286" s="3" t="s">
        <v>146</v>
      </c>
      <c r="I286" s="9" t="s">
        <v>1206</v>
      </c>
      <c r="J286" s="2"/>
      <c r="K286" s="2"/>
      <c r="L286" s="3" t="s">
        <v>1441</v>
      </c>
      <c r="M286" s="6" t="s">
        <v>149</v>
      </c>
      <c r="N286" s="2"/>
      <c r="O286" s="2"/>
      <c r="P286" s="2"/>
      <c r="Q286" s="2"/>
      <c r="R286" s="2"/>
      <c r="S286" s="2"/>
      <c r="T286" s="2"/>
      <c r="U286" s="2"/>
      <c r="V286" s="2"/>
      <c r="W286" s="2"/>
      <c r="X286" s="2"/>
      <c r="Y286" s="2"/>
      <c r="Z286" s="2"/>
    </row>
    <row r="287" ht="15.75" customHeight="1">
      <c r="A287" s="3" t="s">
        <v>1442</v>
      </c>
      <c r="B287" s="3" t="s">
        <v>1443</v>
      </c>
      <c r="C287" s="37">
        <v>45942.0</v>
      </c>
      <c r="D287" s="3" t="s">
        <v>92</v>
      </c>
      <c r="E287" s="5">
        <v>0.6666666666666666</v>
      </c>
      <c r="F287" s="3" t="s">
        <v>1339</v>
      </c>
      <c r="G287" s="3" t="s">
        <v>1444</v>
      </c>
      <c r="H287" s="3" t="s">
        <v>1341</v>
      </c>
      <c r="I287" s="2"/>
      <c r="J287" s="3" t="s">
        <v>1342</v>
      </c>
      <c r="K287" s="3" t="s">
        <v>1343</v>
      </c>
      <c r="L287" s="9" t="s">
        <v>1445</v>
      </c>
      <c r="M287" s="2"/>
      <c r="N287" s="2"/>
      <c r="O287" s="2"/>
      <c r="P287" s="2"/>
      <c r="Q287" s="2"/>
      <c r="R287" s="2"/>
      <c r="S287" s="2"/>
      <c r="T287" s="2"/>
      <c r="U287" s="2"/>
      <c r="V287" s="2"/>
      <c r="W287" s="2"/>
      <c r="X287" s="2"/>
      <c r="Y287" s="2"/>
      <c r="Z287" s="2"/>
    </row>
    <row r="288" ht="15.75" customHeight="1">
      <c r="A288" s="3" t="s">
        <v>1446</v>
      </c>
      <c r="B288" s="3" t="s">
        <v>1447</v>
      </c>
      <c r="C288" s="37">
        <v>45942.0</v>
      </c>
      <c r="D288" s="3" t="s">
        <v>92</v>
      </c>
      <c r="E288" s="5">
        <v>0.8333333333333334</v>
      </c>
      <c r="F288" s="3" t="s">
        <v>1448</v>
      </c>
      <c r="G288" s="3" t="s">
        <v>1449</v>
      </c>
      <c r="H288" s="3" t="s">
        <v>1341</v>
      </c>
      <c r="I288" s="2"/>
      <c r="J288" s="3" t="s">
        <v>1342</v>
      </c>
      <c r="K288" s="9" t="s">
        <v>1343</v>
      </c>
      <c r="L288" s="2"/>
      <c r="M288" s="2"/>
      <c r="N288" s="2"/>
      <c r="O288" s="2"/>
      <c r="P288" s="2"/>
      <c r="Q288" s="2"/>
      <c r="R288" s="2"/>
      <c r="S288" s="2"/>
      <c r="T288" s="2"/>
      <c r="U288" s="2"/>
      <c r="V288" s="2"/>
      <c r="W288" s="2"/>
      <c r="X288" s="2"/>
      <c r="Y288" s="2"/>
      <c r="Z288" s="2"/>
    </row>
    <row r="289" ht="15.75" customHeight="1">
      <c r="A289" s="3" t="s">
        <v>1450</v>
      </c>
      <c r="B289" s="3" t="s">
        <v>1251</v>
      </c>
      <c r="C289" s="37">
        <v>45943.0</v>
      </c>
      <c r="D289" s="3" t="s">
        <v>268</v>
      </c>
      <c r="E289" s="5">
        <v>0.6666666666666666</v>
      </c>
      <c r="F289" s="3" t="s">
        <v>534</v>
      </c>
      <c r="G289" s="3" t="s">
        <v>1451</v>
      </c>
      <c r="H289" s="3" t="s">
        <v>1334</v>
      </c>
      <c r="I289" s="2"/>
      <c r="J289" s="2"/>
      <c r="K289" s="2"/>
      <c r="L289" s="2"/>
      <c r="M289" s="2"/>
      <c r="N289" s="2"/>
      <c r="O289" s="2"/>
      <c r="P289" s="2"/>
      <c r="Q289" s="2"/>
      <c r="R289" s="2"/>
      <c r="S289" s="2"/>
      <c r="T289" s="2"/>
      <c r="U289" s="2"/>
      <c r="V289" s="2"/>
      <c r="W289" s="2"/>
      <c r="X289" s="2"/>
      <c r="Y289" s="2"/>
      <c r="Z289" s="2"/>
    </row>
    <row r="290" ht="15.75" customHeight="1">
      <c r="A290" s="3" t="s">
        <v>1452</v>
      </c>
      <c r="B290" s="3" t="s">
        <v>1354</v>
      </c>
      <c r="C290" s="3" t="s">
        <v>1453</v>
      </c>
      <c r="D290" s="33" t="s">
        <v>795</v>
      </c>
      <c r="E290" s="3" t="s">
        <v>1357</v>
      </c>
      <c r="F290" s="3" t="s">
        <v>1244</v>
      </c>
      <c r="G290" s="3" t="s">
        <v>1454</v>
      </c>
      <c r="H290" s="3" t="s">
        <v>1455</v>
      </c>
      <c r="I290" s="3" t="s">
        <v>1247</v>
      </c>
      <c r="J290" s="9" t="s">
        <v>1248</v>
      </c>
      <c r="K290" s="2"/>
      <c r="L290" s="3" t="s">
        <v>1456</v>
      </c>
      <c r="M290" s="6" t="s">
        <v>276</v>
      </c>
      <c r="N290" s="2"/>
      <c r="O290" s="2"/>
      <c r="P290" s="2"/>
      <c r="Q290" s="2"/>
      <c r="R290" s="2"/>
      <c r="S290" s="2"/>
      <c r="T290" s="2"/>
      <c r="U290" s="2"/>
      <c r="V290" s="2"/>
      <c r="W290" s="2"/>
      <c r="X290" s="2"/>
      <c r="Y290" s="2"/>
      <c r="Z290" s="2"/>
    </row>
    <row r="291" ht="15.75" customHeight="1">
      <c r="A291" s="3" t="s">
        <v>1457</v>
      </c>
      <c r="B291" s="3" t="s">
        <v>1458</v>
      </c>
      <c r="C291" s="37">
        <v>45946.0</v>
      </c>
      <c r="D291" s="3" t="s">
        <v>88</v>
      </c>
      <c r="E291" s="32" t="s">
        <v>1459</v>
      </c>
      <c r="F291" s="3" t="s">
        <v>712</v>
      </c>
      <c r="G291" s="3" t="s">
        <v>1460</v>
      </c>
      <c r="H291" s="3" t="s">
        <v>624</v>
      </c>
      <c r="I291" s="9" t="s">
        <v>1461</v>
      </c>
      <c r="J291" s="2"/>
      <c r="K291" s="2"/>
      <c r="L291" s="9" t="s">
        <v>1462</v>
      </c>
      <c r="M291" s="2"/>
      <c r="N291" s="2"/>
      <c r="O291" s="2"/>
      <c r="P291" s="2"/>
      <c r="Q291" s="2"/>
      <c r="R291" s="2"/>
      <c r="S291" s="2"/>
      <c r="T291" s="2"/>
      <c r="U291" s="2"/>
      <c r="V291" s="2"/>
      <c r="W291" s="2"/>
      <c r="X291" s="2"/>
      <c r="Y291" s="2"/>
      <c r="Z291" s="2"/>
    </row>
    <row r="292" ht="15.75" customHeight="1">
      <c r="A292" s="3" t="s">
        <v>1457</v>
      </c>
      <c r="B292" s="3" t="s">
        <v>1458</v>
      </c>
      <c r="C292" s="37">
        <v>45947.0</v>
      </c>
      <c r="D292" s="3" t="s">
        <v>298</v>
      </c>
      <c r="E292" s="3" t="s">
        <v>1463</v>
      </c>
      <c r="F292" s="3" t="s">
        <v>712</v>
      </c>
      <c r="G292" s="3" t="s">
        <v>1460</v>
      </c>
      <c r="H292" s="3" t="s">
        <v>624</v>
      </c>
      <c r="I292" s="9" t="s">
        <v>1461</v>
      </c>
      <c r="J292" s="2"/>
      <c r="K292" s="2"/>
      <c r="L292" s="9" t="s">
        <v>1462</v>
      </c>
      <c r="M292" s="2"/>
      <c r="N292" s="2"/>
      <c r="O292" s="2"/>
      <c r="P292" s="2"/>
      <c r="Q292" s="2"/>
      <c r="R292" s="2"/>
      <c r="S292" s="2"/>
      <c r="T292" s="2"/>
      <c r="U292" s="2"/>
      <c r="V292" s="2"/>
      <c r="W292" s="2"/>
      <c r="X292" s="2"/>
      <c r="Y292" s="2"/>
      <c r="Z292" s="2"/>
    </row>
    <row r="293" ht="15.75" customHeight="1">
      <c r="A293" s="3" t="s">
        <v>1464</v>
      </c>
      <c r="B293" s="3" t="s">
        <v>1279</v>
      </c>
      <c r="C293" s="37">
        <v>45947.0</v>
      </c>
      <c r="D293" s="3" t="s">
        <v>298</v>
      </c>
      <c r="E293" s="3" t="s">
        <v>1126</v>
      </c>
      <c r="F293" s="3" t="s">
        <v>534</v>
      </c>
      <c r="G293" s="9" t="s">
        <v>1465</v>
      </c>
      <c r="H293" s="2"/>
      <c r="I293" s="2"/>
      <c r="J293" s="2"/>
      <c r="K293" s="2"/>
      <c r="L293" s="2"/>
      <c r="M293" s="2"/>
      <c r="N293" s="2"/>
      <c r="O293" s="2"/>
      <c r="P293" s="2"/>
      <c r="Q293" s="2"/>
      <c r="R293" s="2"/>
      <c r="S293" s="2"/>
      <c r="T293" s="2"/>
      <c r="U293" s="2"/>
      <c r="V293" s="2"/>
      <c r="W293" s="2"/>
      <c r="X293" s="2"/>
      <c r="Y293" s="2"/>
      <c r="Z293" s="2"/>
    </row>
    <row r="294" ht="15.75" customHeight="1">
      <c r="A294" s="3" t="s">
        <v>1457</v>
      </c>
      <c r="B294" s="3" t="s">
        <v>1458</v>
      </c>
      <c r="C294" s="37">
        <v>45948.0</v>
      </c>
      <c r="D294" s="3" t="s">
        <v>119</v>
      </c>
      <c r="E294" s="3" t="s">
        <v>1466</v>
      </c>
      <c r="F294" s="3" t="s">
        <v>712</v>
      </c>
      <c r="G294" s="3" t="s">
        <v>1460</v>
      </c>
      <c r="H294" s="3" t="s">
        <v>624</v>
      </c>
      <c r="I294" s="9" t="s">
        <v>1461</v>
      </c>
      <c r="J294" s="2"/>
      <c r="K294" s="2"/>
      <c r="L294" s="9" t="s">
        <v>1462</v>
      </c>
      <c r="M294" s="2"/>
      <c r="N294" s="2"/>
      <c r="O294" s="2"/>
      <c r="P294" s="2"/>
      <c r="Q294" s="2"/>
      <c r="R294" s="2"/>
      <c r="S294" s="2"/>
      <c r="T294" s="2"/>
      <c r="U294" s="2"/>
      <c r="V294" s="2"/>
      <c r="W294" s="2"/>
      <c r="X294" s="2"/>
      <c r="Y294" s="2"/>
      <c r="Z294" s="2"/>
    </row>
    <row r="295" ht="15.75" customHeight="1">
      <c r="A295" s="3" t="s">
        <v>1467</v>
      </c>
      <c r="B295" s="3" t="s">
        <v>375</v>
      </c>
      <c r="C295" s="37">
        <v>45948.0</v>
      </c>
      <c r="D295" s="3" t="s">
        <v>119</v>
      </c>
      <c r="E295" s="3" t="s">
        <v>1313</v>
      </c>
      <c r="F295" s="3" t="s">
        <v>1007</v>
      </c>
      <c r="G295" s="2"/>
      <c r="H295" s="3" t="s">
        <v>1384</v>
      </c>
      <c r="I295" s="3" t="s">
        <v>1010</v>
      </c>
      <c r="J295" s="9" t="s">
        <v>1011</v>
      </c>
      <c r="K295" s="2"/>
      <c r="L295" s="2"/>
      <c r="M295" s="2"/>
      <c r="N295" s="2"/>
      <c r="O295" s="2"/>
      <c r="P295" s="2"/>
      <c r="Q295" s="2"/>
      <c r="R295" s="2"/>
      <c r="S295" s="2"/>
      <c r="T295" s="2"/>
      <c r="U295" s="2"/>
      <c r="V295" s="2"/>
      <c r="W295" s="2"/>
      <c r="X295" s="2"/>
      <c r="Y295" s="2"/>
      <c r="Z295" s="2"/>
    </row>
    <row r="296" ht="15.75" customHeight="1">
      <c r="A296" s="3" t="s">
        <v>1468</v>
      </c>
      <c r="B296" s="3" t="s">
        <v>375</v>
      </c>
      <c r="C296" s="37">
        <v>45948.0</v>
      </c>
      <c r="D296" s="3" t="s">
        <v>119</v>
      </c>
      <c r="E296" s="3" t="s">
        <v>1313</v>
      </c>
      <c r="F296" s="3" t="s">
        <v>1007</v>
      </c>
      <c r="G296" s="2"/>
      <c r="H296" s="3" t="s">
        <v>1315</v>
      </c>
      <c r="I296" s="3" t="s">
        <v>1010</v>
      </c>
      <c r="J296" s="9" t="s">
        <v>1011</v>
      </c>
      <c r="K296" s="2"/>
      <c r="L296" s="2"/>
      <c r="M296" s="2"/>
      <c r="N296" s="2"/>
      <c r="O296" s="2"/>
      <c r="P296" s="2"/>
      <c r="Q296" s="2"/>
      <c r="R296" s="2"/>
      <c r="S296" s="2"/>
      <c r="T296" s="2"/>
      <c r="U296" s="2"/>
      <c r="V296" s="2"/>
      <c r="W296" s="2"/>
      <c r="X296" s="2"/>
      <c r="Y296" s="2"/>
      <c r="Z296" s="2"/>
    </row>
    <row r="297" ht="15.75" customHeight="1">
      <c r="A297" s="3" t="s">
        <v>1469</v>
      </c>
      <c r="B297" s="3" t="s">
        <v>375</v>
      </c>
      <c r="C297" s="37">
        <v>45948.0</v>
      </c>
      <c r="D297" s="3" t="s">
        <v>119</v>
      </c>
      <c r="E297" s="32" t="s">
        <v>1303</v>
      </c>
      <c r="F297" s="3" t="s">
        <v>1007</v>
      </c>
      <c r="G297" s="2"/>
      <c r="H297" s="3" t="s">
        <v>1311</v>
      </c>
      <c r="I297" s="3" t="s">
        <v>1010</v>
      </c>
      <c r="J297" s="9" t="s">
        <v>1011</v>
      </c>
      <c r="K297" s="2"/>
      <c r="L297" s="2"/>
      <c r="M297" s="2"/>
      <c r="N297" s="2"/>
      <c r="O297" s="2"/>
      <c r="P297" s="2"/>
      <c r="Q297" s="2"/>
      <c r="R297" s="2"/>
      <c r="S297" s="2"/>
      <c r="T297" s="2"/>
      <c r="U297" s="2"/>
      <c r="V297" s="2"/>
      <c r="W297" s="2"/>
      <c r="X297" s="2"/>
      <c r="Y297" s="2"/>
      <c r="Z297" s="2"/>
    </row>
    <row r="298" ht="15.75" customHeight="1">
      <c r="A298" s="3" t="s">
        <v>1470</v>
      </c>
      <c r="B298" s="3" t="s">
        <v>375</v>
      </c>
      <c r="C298" s="3" t="s">
        <v>1471</v>
      </c>
      <c r="D298" s="3" t="s">
        <v>395</v>
      </c>
      <c r="E298" s="3" t="s">
        <v>1126</v>
      </c>
      <c r="F298" s="3" t="s">
        <v>818</v>
      </c>
      <c r="G298" s="3" t="s">
        <v>1472</v>
      </c>
      <c r="H298" s="3" t="s">
        <v>799</v>
      </c>
      <c r="I298" s="3" t="s">
        <v>820</v>
      </c>
      <c r="J298" s="9" t="s">
        <v>821</v>
      </c>
      <c r="K298" s="2"/>
      <c r="L298" s="3" t="s">
        <v>1473</v>
      </c>
      <c r="M298" s="6" t="s">
        <v>823</v>
      </c>
      <c r="N298" s="2"/>
      <c r="O298" s="2"/>
      <c r="P298" s="2"/>
      <c r="Q298" s="2"/>
      <c r="R298" s="2"/>
      <c r="S298" s="2"/>
      <c r="T298" s="2"/>
      <c r="U298" s="2"/>
      <c r="V298" s="2"/>
      <c r="W298" s="2"/>
      <c r="X298" s="2"/>
      <c r="Y298" s="2"/>
      <c r="Z298" s="2"/>
    </row>
    <row r="299" ht="15.75" customHeight="1">
      <c r="A299" s="3" t="s">
        <v>1474</v>
      </c>
      <c r="B299" s="3" t="s">
        <v>1113</v>
      </c>
      <c r="C299" s="37">
        <v>45950.0</v>
      </c>
      <c r="D299" s="3" t="s">
        <v>268</v>
      </c>
      <c r="E299" s="5">
        <v>0.6666666666666666</v>
      </c>
      <c r="F299" s="3" t="s">
        <v>534</v>
      </c>
      <c r="G299" s="3" t="s">
        <v>1475</v>
      </c>
      <c r="H299" s="3" t="s">
        <v>1334</v>
      </c>
      <c r="I299" s="2"/>
      <c r="J299" s="2"/>
      <c r="K299" s="2"/>
      <c r="L299" s="2"/>
      <c r="M299" s="2"/>
      <c r="N299" s="2"/>
      <c r="O299" s="2"/>
      <c r="P299" s="2"/>
      <c r="Q299" s="2"/>
      <c r="R299" s="2"/>
      <c r="S299" s="2"/>
      <c r="T299" s="2"/>
      <c r="U299" s="2"/>
      <c r="V299" s="2"/>
      <c r="W299" s="2"/>
      <c r="X299" s="2"/>
      <c r="Y299" s="2"/>
      <c r="Z299" s="2"/>
    </row>
    <row r="300" ht="15.75" customHeight="1">
      <c r="A300" s="3" t="s">
        <v>1476</v>
      </c>
      <c r="B300" s="3" t="s">
        <v>1354</v>
      </c>
      <c r="C300" s="3" t="s">
        <v>1477</v>
      </c>
      <c r="D300" s="3" t="s">
        <v>1478</v>
      </c>
      <c r="E300" s="3" t="s">
        <v>1479</v>
      </c>
      <c r="F300" s="3" t="s">
        <v>1244</v>
      </c>
      <c r="G300" s="3" t="s">
        <v>1480</v>
      </c>
      <c r="H300" s="3" t="s">
        <v>1481</v>
      </c>
      <c r="I300" s="3" t="s">
        <v>1247</v>
      </c>
      <c r="J300" s="9" t="s">
        <v>1248</v>
      </c>
      <c r="K300" s="2"/>
      <c r="L300" s="3" t="s">
        <v>1482</v>
      </c>
      <c r="M300" s="6" t="s">
        <v>276</v>
      </c>
      <c r="N300" s="2"/>
      <c r="O300" s="2"/>
      <c r="P300" s="2"/>
      <c r="Q300" s="2"/>
      <c r="R300" s="2"/>
      <c r="S300" s="2"/>
      <c r="T300" s="2"/>
      <c r="U300" s="2"/>
      <c r="V300" s="2"/>
      <c r="W300" s="2"/>
      <c r="X300" s="2"/>
      <c r="Y300" s="2"/>
      <c r="Z300" s="2"/>
    </row>
    <row r="301" ht="15.75" customHeight="1">
      <c r="A301" s="3" t="s">
        <v>1483</v>
      </c>
      <c r="B301" s="3" t="s">
        <v>560</v>
      </c>
      <c r="C301" s="37">
        <v>45954.0</v>
      </c>
      <c r="D301" s="3" t="s">
        <v>298</v>
      </c>
      <c r="E301" s="3" t="s">
        <v>1126</v>
      </c>
      <c r="F301" s="3" t="s">
        <v>534</v>
      </c>
      <c r="G301" s="9" t="s">
        <v>1484</v>
      </c>
      <c r="H301" s="2"/>
      <c r="I301" s="2"/>
      <c r="J301" s="2"/>
      <c r="K301" s="2"/>
      <c r="L301" s="2"/>
      <c r="M301" s="2"/>
      <c r="N301" s="2"/>
      <c r="O301" s="2"/>
      <c r="P301" s="2"/>
      <c r="Q301" s="2"/>
      <c r="R301" s="2"/>
      <c r="S301" s="2"/>
      <c r="T301" s="2"/>
      <c r="U301" s="2"/>
      <c r="V301" s="2"/>
      <c r="W301" s="2"/>
      <c r="X301" s="2"/>
      <c r="Y301" s="2"/>
      <c r="Z301" s="2"/>
    </row>
    <row r="302" ht="15.75" customHeight="1">
      <c r="A302" s="3" t="s">
        <v>1485</v>
      </c>
      <c r="B302" s="3" t="s">
        <v>375</v>
      </c>
      <c r="C302" s="37">
        <v>45955.0</v>
      </c>
      <c r="D302" s="3" t="s">
        <v>119</v>
      </c>
      <c r="E302" s="3" t="s">
        <v>1265</v>
      </c>
      <c r="F302" s="3" t="s">
        <v>1007</v>
      </c>
      <c r="G302" s="2"/>
      <c r="H302" s="3" t="s">
        <v>1009</v>
      </c>
      <c r="I302" s="3" t="s">
        <v>1010</v>
      </c>
      <c r="J302" s="9" t="s">
        <v>1011</v>
      </c>
      <c r="K302" s="2"/>
      <c r="L302" s="2"/>
      <c r="M302" s="2"/>
      <c r="N302" s="2"/>
      <c r="O302" s="2"/>
      <c r="P302" s="2"/>
      <c r="Q302" s="2"/>
      <c r="R302" s="2"/>
      <c r="S302" s="2"/>
      <c r="T302" s="2"/>
      <c r="U302" s="2"/>
      <c r="V302" s="2"/>
      <c r="W302" s="2"/>
      <c r="X302" s="2"/>
      <c r="Y302" s="2"/>
      <c r="Z302" s="2"/>
    </row>
    <row r="303" ht="15.75" customHeight="1">
      <c r="A303" s="3" t="s">
        <v>1486</v>
      </c>
      <c r="B303" s="3" t="s">
        <v>375</v>
      </c>
      <c r="C303" s="37">
        <v>45955.0</v>
      </c>
      <c r="D303" s="3" t="s">
        <v>119</v>
      </c>
      <c r="E303" s="3" t="s">
        <v>1303</v>
      </c>
      <c r="F303" s="3" t="s">
        <v>1007</v>
      </c>
      <c r="G303" s="2"/>
      <c r="H303" s="3" t="s">
        <v>1026</v>
      </c>
      <c r="I303" s="3" t="s">
        <v>1010</v>
      </c>
      <c r="J303" s="9" t="s">
        <v>1011</v>
      </c>
      <c r="K303" s="2"/>
      <c r="L303" s="2"/>
      <c r="M303" s="2"/>
      <c r="N303" s="2"/>
      <c r="O303" s="2"/>
      <c r="P303" s="2"/>
      <c r="Q303" s="2"/>
      <c r="R303" s="2"/>
      <c r="S303" s="2"/>
      <c r="T303" s="2"/>
      <c r="U303" s="2"/>
      <c r="V303" s="2"/>
      <c r="W303" s="2"/>
      <c r="X303" s="2"/>
      <c r="Y303" s="2"/>
      <c r="Z303" s="2"/>
    </row>
    <row r="304" ht="15.75" customHeight="1">
      <c r="A304" s="3" t="s">
        <v>1387</v>
      </c>
      <c r="B304" s="3" t="s">
        <v>375</v>
      </c>
      <c r="C304" s="36" t="s">
        <v>1487</v>
      </c>
      <c r="D304" s="3" t="s">
        <v>1488</v>
      </c>
      <c r="E304" s="3" t="s">
        <v>1390</v>
      </c>
      <c r="F304" s="3" t="s">
        <v>1391</v>
      </c>
      <c r="G304" s="3" t="s">
        <v>1392</v>
      </c>
      <c r="H304" s="3" t="s">
        <v>1393</v>
      </c>
      <c r="I304" s="3" t="s">
        <v>1394</v>
      </c>
      <c r="J304" s="2"/>
      <c r="K304" s="3" t="s">
        <v>209</v>
      </c>
      <c r="L304" s="9" t="s">
        <v>1395</v>
      </c>
      <c r="M304" s="2"/>
      <c r="N304" s="2"/>
      <c r="O304" s="2"/>
      <c r="P304" s="2"/>
      <c r="Q304" s="2"/>
      <c r="R304" s="2"/>
      <c r="S304" s="2"/>
      <c r="T304" s="2"/>
      <c r="U304" s="2"/>
      <c r="V304" s="2"/>
      <c r="W304" s="2"/>
      <c r="X304" s="2"/>
      <c r="Y304" s="2"/>
      <c r="Z304" s="2"/>
    </row>
    <row r="305" ht="15.75" customHeight="1">
      <c r="A305" s="3" t="s">
        <v>1489</v>
      </c>
      <c r="B305" s="3" t="s">
        <v>1113</v>
      </c>
      <c r="C305" s="37">
        <v>45957.0</v>
      </c>
      <c r="D305" s="3" t="s">
        <v>268</v>
      </c>
      <c r="E305" s="5">
        <v>0.6666666666666666</v>
      </c>
      <c r="F305" s="3" t="s">
        <v>534</v>
      </c>
      <c r="G305" s="3" t="s">
        <v>1490</v>
      </c>
      <c r="H305" s="3" t="s">
        <v>1334</v>
      </c>
      <c r="I305" s="2"/>
      <c r="J305" s="2"/>
      <c r="K305" s="2"/>
      <c r="L305" s="2"/>
      <c r="M305" s="2"/>
      <c r="N305" s="2"/>
      <c r="O305" s="2"/>
      <c r="P305" s="2"/>
      <c r="Q305" s="2"/>
      <c r="R305" s="2"/>
      <c r="S305" s="2"/>
      <c r="T305" s="2"/>
      <c r="U305" s="2"/>
      <c r="V305" s="2"/>
      <c r="W305" s="2"/>
      <c r="X305" s="2"/>
      <c r="Y305" s="2"/>
      <c r="Z305" s="2"/>
    </row>
    <row r="306" ht="15.75" customHeight="1">
      <c r="A306" s="3" t="s">
        <v>1491</v>
      </c>
      <c r="B306" s="3" t="s">
        <v>1492</v>
      </c>
      <c r="C306" s="3" t="s">
        <v>1493</v>
      </c>
      <c r="D306" s="3" t="s">
        <v>1478</v>
      </c>
      <c r="E306" s="3" t="s">
        <v>1126</v>
      </c>
      <c r="F306" s="3" t="s">
        <v>1159</v>
      </c>
      <c r="G306" s="3" t="s">
        <v>1494</v>
      </c>
      <c r="H306" s="9" t="s">
        <v>1495</v>
      </c>
      <c r="I306" s="2"/>
      <c r="J306" s="9" t="s">
        <v>1496</v>
      </c>
      <c r="K306" s="2"/>
      <c r="L306" s="3" t="s">
        <v>1497</v>
      </c>
      <c r="M306" s="6" t="s">
        <v>1498</v>
      </c>
      <c r="N306" s="2"/>
      <c r="O306" s="2"/>
      <c r="P306" s="2"/>
      <c r="Q306" s="2"/>
      <c r="R306" s="2"/>
      <c r="S306" s="2"/>
      <c r="T306" s="2"/>
      <c r="U306" s="2"/>
      <c r="V306" s="2"/>
      <c r="W306" s="2"/>
      <c r="X306" s="2"/>
      <c r="Y306" s="2"/>
      <c r="Z306" s="2"/>
    </row>
    <row r="307" ht="15.75" customHeight="1">
      <c r="A307" s="3" t="s">
        <v>1499</v>
      </c>
      <c r="B307" s="3" t="s">
        <v>1354</v>
      </c>
      <c r="C307" s="3" t="s">
        <v>1500</v>
      </c>
      <c r="D307" s="3" t="s">
        <v>1126</v>
      </c>
      <c r="E307" s="3" t="s">
        <v>1501</v>
      </c>
      <c r="F307" s="3" t="s">
        <v>1244</v>
      </c>
      <c r="G307" s="3" t="s">
        <v>1502</v>
      </c>
      <c r="H307" s="3" t="s">
        <v>1359</v>
      </c>
      <c r="I307" s="3" t="s">
        <v>1247</v>
      </c>
      <c r="J307" s="9" t="s">
        <v>1248</v>
      </c>
      <c r="K307" s="2"/>
      <c r="L307" s="3" t="s">
        <v>1503</v>
      </c>
      <c r="M307" s="6" t="s">
        <v>276</v>
      </c>
      <c r="N307" s="2"/>
      <c r="O307" s="2"/>
      <c r="P307" s="2"/>
      <c r="Q307" s="2"/>
      <c r="R307" s="2"/>
      <c r="S307" s="2"/>
      <c r="T307" s="2"/>
      <c r="U307" s="2"/>
      <c r="V307" s="2"/>
      <c r="W307" s="2"/>
      <c r="X307" s="2"/>
      <c r="Y307" s="2"/>
      <c r="Z307" s="2"/>
    </row>
    <row r="308" ht="15.75" customHeight="1">
      <c r="A308" s="3" t="s">
        <v>1504</v>
      </c>
      <c r="B308" s="3" t="s">
        <v>1354</v>
      </c>
      <c r="C308" s="3" t="s">
        <v>1505</v>
      </c>
      <c r="D308" s="3" t="s">
        <v>1126</v>
      </c>
      <c r="E308" s="3" t="s">
        <v>1506</v>
      </c>
      <c r="F308" s="3" t="s">
        <v>1244</v>
      </c>
      <c r="G308" s="3" t="s">
        <v>1507</v>
      </c>
      <c r="H308" s="3" t="s">
        <v>1359</v>
      </c>
      <c r="I308" s="3" t="s">
        <v>1247</v>
      </c>
      <c r="J308" s="9" t="s">
        <v>1248</v>
      </c>
      <c r="K308" s="2"/>
      <c r="L308" s="3" t="s">
        <v>1508</v>
      </c>
      <c r="M308" s="6" t="s">
        <v>276</v>
      </c>
      <c r="N308" s="2"/>
      <c r="O308" s="2"/>
      <c r="P308" s="2"/>
      <c r="Q308" s="2"/>
      <c r="R308" s="2"/>
      <c r="S308" s="2"/>
      <c r="T308" s="2"/>
      <c r="U308" s="2"/>
      <c r="V308" s="2"/>
      <c r="W308" s="2"/>
      <c r="X308" s="2"/>
      <c r="Y308" s="2"/>
      <c r="Z308" s="2"/>
    </row>
    <row r="309" ht="15.75" customHeight="1">
      <c r="A309" s="3" t="s">
        <v>1509</v>
      </c>
      <c r="B309" s="3" t="s">
        <v>560</v>
      </c>
      <c r="C309" s="37">
        <v>45961.0</v>
      </c>
      <c r="D309" s="3" t="s">
        <v>298</v>
      </c>
      <c r="E309" s="3" t="s">
        <v>1126</v>
      </c>
      <c r="F309" s="3" t="s">
        <v>534</v>
      </c>
      <c r="G309" s="9" t="s">
        <v>1510</v>
      </c>
      <c r="H309" s="2"/>
      <c r="I309" s="2"/>
      <c r="J309" s="2"/>
      <c r="K309" s="2"/>
      <c r="L309" s="2"/>
      <c r="M309" s="2"/>
      <c r="N309" s="2"/>
      <c r="O309" s="2"/>
      <c r="P309" s="2"/>
      <c r="Q309" s="2"/>
      <c r="R309" s="2"/>
      <c r="S309" s="2"/>
      <c r="T309" s="2"/>
      <c r="U309" s="2"/>
      <c r="V309" s="2"/>
      <c r="W309" s="2"/>
      <c r="X309" s="2"/>
      <c r="Y309" s="2"/>
      <c r="Z309" s="2"/>
    </row>
    <row r="310" ht="15.75" customHeight="1">
      <c r="A310" s="3" t="s">
        <v>1511</v>
      </c>
      <c r="B310" s="3" t="s">
        <v>1492</v>
      </c>
      <c r="C310" s="3" t="s">
        <v>1512</v>
      </c>
      <c r="D310" s="3" t="s">
        <v>1513</v>
      </c>
      <c r="E310" s="3" t="s">
        <v>1126</v>
      </c>
      <c r="F310" s="3" t="s">
        <v>1159</v>
      </c>
      <c r="G310" s="3" t="s">
        <v>1514</v>
      </c>
      <c r="H310" s="9" t="s">
        <v>1495</v>
      </c>
      <c r="I310" s="2"/>
      <c r="J310" s="9" t="s">
        <v>1496</v>
      </c>
      <c r="K310" s="2"/>
      <c r="L310" s="3" t="s">
        <v>1497</v>
      </c>
      <c r="M310" s="6" t="s">
        <v>1498</v>
      </c>
      <c r="N310" s="2"/>
      <c r="O310" s="2"/>
      <c r="P310" s="2"/>
      <c r="Q310" s="2"/>
      <c r="R310" s="2"/>
      <c r="S310" s="2"/>
      <c r="T310" s="2"/>
      <c r="U310" s="2"/>
      <c r="V310" s="2"/>
      <c r="W310" s="2"/>
      <c r="X310" s="2"/>
      <c r="Y310" s="2"/>
      <c r="Z310" s="2"/>
    </row>
    <row r="311" ht="15.75" customHeight="1">
      <c r="A311" s="3" t="s">
        <v>1387</v>
      </c>
      <c r="B311" s="3" t="s">
        <v>375</v>
      </c>
      <c r="C311" s="3" t="s">
        <v>1515</v>
      </c>
      <c r="D311" s="3" t="s">
        <v>1488</v>
      </c>
      <c r="E311" s="3" t="s">
        <v>1390</v>
      </c>
      <c r="F311" s="3" t="s">
        <v>1391</v>
      </c>
      <c r="G311" s="3" t="s">
        <v>1392</v>
      </c>
      <c r="H311" s="3" t="s">
        <v>1393</v>
      </c>
      <c r="I311" s="3" t="s">
        <v>1394</v>
      </c>
      <c r="J311" s="2"/>
      <c r="K311" s="3" t="s">
        <v>209</v>
      </c>
      <c r="L311" s="9" t="s">
        <v>1395</v>
      </c>
      <c r="M311" s="2"/>
      <c r="N311" s="2"/>
      <c r="O311" s="2"/>
      <c r="P311" s="2"/>
      <c r="Q311" s="2"/>
      <c r="R311" s="2"/>
      <c r="S311" s="2"/>
      <c r="T311" s="2"/>
      <c r="U311" s="2"/>
      <c r="V311" s="2"/>
      <c r="W311" s="2"/>
      <c r="X311" s="2"/>
      <c r="Y311" s="2"/>
      <c r="Z311" s="2"/>
    </row>
    <row r="312" ht="15.75" customHeight="1">
      <c r="A312" s="3" t="s">
        <v>1407</v>
      </c>
      <c r="B312" s="3" t="s">
        <v>375</v>
      </c>
      <c r="C312" s="37">
        <v>45969.0</v>
      </c>
      <c r="D312" s="3" t="s">
        <v>119</v>
      </c>
      <c r="E312" s="3" t="s">
        <v>1408</v>
      </c>
      <c r="F312" s="3" t="s">
        <v>1409</v>
      </c>
      <c r="G312" s="3" t="s">
        <v>1410</v>
      </c>
      <c r="H312" s="3" t="s">
        <v>1411</v>
      </c>
      <c r="I312" s="9" t="s">
        <v>1412</v>
      </c>
      <c r="J312" s="2"/>
      <c r="K312" s="3" t="s">
        <v>1413</v>
      </c>
      <c r="L312" s="9" t="s">
        <v>1414</v>
      </c>
      <c r="M312" s="2"/>
      <c r="N312" s="2"/>
      <c r="O312" s="2"/>
      <c r="P312" s="2"/>
      <c r="Q312" s="2"/>
      <c r="R312" s="2"/>
      <c r="S312" s="2"/>
      <c r="T312" s="2"/>
      <c r="U312" s="2"/>
      <c r="V312" s="2"/>
      <c r="W312" s="2"/>
      <c r="X312" s="2"/>
      <c r="Y312" s="2"/>
      <c r="Z312" s="2"/>
    </row>
    <row r="313" ht="15.75" customHeight="1">
      <c r="A313" s="3" t="s">
        <v>1407</v>
      </c>
      <c r="B313" s="3" t="s">
        <v>375</v>
      </c>
      <c r="C313" s="37">
        <v>45997.0</v>
      </c>
      <c r="D313" s="3" t="s">
        <v>119</v>
      </c>
      <c r="E313" s="3" t="s">
        <v>1408</v>
      </c>
      <c r="F313" s="3" t="s">
        <v>1409</v>
      </c>
      <c r="G313" s="3" t="s">
        <v>1410</v>
      </c>
      <c r="H313" s="3" t="s">
        <v>1411</v>
      </c>
      <c r="I313" s="9" t="s">
        <v>1412</v>
      </c>
      <c r="J313" s="2"/>
      <c r="K313" s="3" t="s">
        <v>1413</v>
      </c>
      <c r="L313" s="9" t="s">
        <v>1414</v>
      </c>
      <c r="M313" s="2"/>
      <c r="N313" s="2"/>
      <c r="O313" s="2"/>
      <c r="P313" s="2"/>
      <c r="Q313" s="2"/>
      <c r="R313" s="2"/>
      <c r="S313" s="2"/>
      <c r="T313" s="2"/>
      <c r="U313" s="2"/>
      <c r="V313" s="2"/>
      <c r="W313" s="2"/>
      <c r="X313" s="2"/>
      <c r="Y313" s="2"/>
      <c r="Z313" s="2"/>
    </row>
    <row r="314" ht="15.75" customHeight="1">
      <c r="A314" s="3" t="s">
        <v>1516</v>
      </c>
      <c r="B314" s="3" t="s">
        <v>1517</v>
      </c>
      <c r="C314" s="3" t="s">
        <v>1518</v>
      </c>
      <c r="D314" s="3" t="s">
        <v>1126</v>
      </c>
      <c r="E314" s="3" t="s">
        <v>1126</v>
      </c>
      <c r="F314" s="3" t="s">
        <v>1519</v>
      </c>
      <c r="G314" s="3" t="s">
        <v>1520</v>
      </c>
      <c r="H314" s="3" t="s">
        <v>651</v>
      </c>
      <c r="I314" s="3" t="s">
        <v>1521</v>
      </c>
      <c r="J314" s="2"/>
      <c r="K314" s="2"/>
      <c r="L314" s="9" t="s">
        <v>1522</v>
      </c>
      <c r="M314" s="2"/>
      <c r="N314" s="2"/>
      <c r="O314" s="2"/>
      <c r="P314" s="2"/>
      <c r="Q314" s="2"/>
      <c r="R314" s="2"/>
      <c r="S314" s="2"/>
      <c r="T314" s="2"/>
      <c r="U314" s="2"/>
      <c r="V314" s="2"/>
      <c r="W314" s="2"/>
      <c r="X314" s="2"/>
      <c r="Y314" s="2"/>
      <c r="Z314" s="2"/>
    </row>
    <row r="315" ht="15.75" customHeight="1">
      <c r="A315" s="3" t="s">
        <v>1523</v>
      </c>
      <c r="B315" s="3" t="s">
        <v>1458</v>
      </c>
      <c r="C315" s="3" t="s">
        <v>1518</v>
      </c>
      <c r="D315" s="3" t="s">
        <v>1126</v>
      </c>
      <c r="E315" s="3" t="s">
        <v>1126</v>
      </c>
      <c r="F315" s="3" t="s">
        <v>1519</v>
      </c>
      <c r="G315" s="3" t="s">
        <v>1520</v>
      </c>
      <c r="H315" s="3" t="s">
        <v>654</v>
      </c>
      <c r="I315" s="3" t="s">
        <v>1521</v>
      </c>
      <c r="J315" s="2"/>
      <c r="K315" s="2"/>
      <c r="L315" s="9" t="s">
        <v>1522</v>
      </c>
      <c r="M315" s="2"/>
      <c r="N315" s="2"/>
      <c r="O315" s="2"/>
      <c r="P315" s="2"/>
      <c r="Q315" s="2"/>
      <c r="R315" s="2"/>
      <c r="S315" s="2"/>
      <c r="T315" s="2"/>
      <c r="U315" s="2"/>
      <c r="V315" s="2"/>
      <c r="W315" s="2"/>
      <c r="X315" s="2"/>
      <c r="Y315" s="2"/>
      <c r="Z315" s="2"/>
    </row>
    <row r="316" ht="15.75" customHeight="1">
      <c r="A316" s="3" t="s">
        <v>1524</v>
      </c>
      <c r="B316" s="3" t="s">
        <v>1525</v>
      </c>
      <c r="C316" s="3" t="s">
        <v>1518</v>
      </c>
      <c r="D316" s="3" t="s">
        <v>1126</v>
      </c>
      <c r="E316" s="3" t="s">
        <v>1126</v>
      </c>
      <c r="F316" s="3" t="s">
        <v>1519</v>
      </c>
      <c r="G316" s="3" t="s">
        <v>1520</v>
      </c>
      <c r="H316" s="3" t="s">
        <v>672</v>
      </c>
      <c r="I316" s="3" t="s">
        <v>1521</v>
      </c>
      <c r="J316" s="2"/>
      <c r="K316" s="2"/>
      <c r="L316" s="9" t="s">
        <v>1522</v>
      </c>
      <c r="M316" s="2"/>
      <c r="N316" s="2"/>
      <c r="O316" s="2"/>
      <c r="P316" s="2"/>
      <c r="Q316" s="2"/>
      <c r="R316" s="2"/>
      <c r="S316" s="2"/>
      <c r="T316" s="2"/>
      <c r="U316" s="2"/>
      <c r="V316" s="2"/>
      <c r="W316" s="2"/>
      <c r="X316" s="2"/>
      <c r="Y316" s="2"/>
      <c r="Z316" s="2"/>
    </row>
    <row r="317" ht="15.75" customHeight="1">
      <c r="A317" s="3" t="s">
        <v>1526</v>
      </c>
      <c r="B317" s="3" t="s">
        <v>1527</v>
      </c>
      <c r="C317" s="3" t="s">
        <v>1518</v>
      </c>
      <c r="D317" s="3" t="s">
        <v>1126</v>
      </c>
      <c r="E317" s="3" t="s">
        <v>1126</v>
      </c>
      <c r="F317" s="3" t="s">
        <v>1519</v>
      </c>
      <c r="G317" s="3" t="s">
        <v>1520</v>
      </c>
      <c r="H317" s="3" t="s">
        <v>675</v>
      </c>
      <c r="I317" s="3" t="s">
        <v>1521</v>
      </c>
      <c r="J317" s="2"/>
      <c r="K317" s="2"/>
      <c r="L317" s="9" t="s">
        <v>1522</v>
      </c>
      <c r="M317" s="2"/>
      <c r="N317" s="2"/>
      <c r="O317" s="2"/>
      <c r="P317" s="2"/>
      <c r="Q317" s="2"/>
      <c r="R317" s="2"/>
      <c r="S317" s="2"/>
      <c r="T317" s="2"/>
      <c r="U317" s="2"/>
      <c r="V317" s="2"/>
      <c r="W317" s="2"/>
      <c r="X317" s="2"/>
      <c r="Y317" s="2"/>
      <c r="Z317" s="2"/>
    </row>
    <row r="318" ht="15.75" customHeight="1">
      <c r="A318" s="3" t="s">
        <v>1528</v>
      </c>
      <c r="B318" s="3" t="s">
        <v>1195</v>
      </c>
      <c r="C318" s="3" t="s">
        <v>1518</v>
      </c>
      <c r="D318" s="3" t="s">
        <v>1126</v>
      </c>
      <c r="E318" s="3" t="s">
        <v>1126</v>
      </c>
      <c r="F318" s="3" t="s">
        <v>1190</v>
      </c>
      <c r="G318" s="3" t="s">
        <v>1529</v>
      </c>
      <c r="H318" s="3" t="s">
        <v>1191</v>
      </c>
      <c r="I318" s="3" t="s">
        <v>1192</v>
      </c>
      <c r="J318" s="9" t="s">
        <v>1193</v>
      </c>
      <c r="K318" s="2"/>
      <c r="L318" s="2"/>
      <c r="M318" s="2"/>
      <c r="N318" s="2"/>
      <c r="O318" s="2"/>
      <c r="P318" s="2"/>
      <c r="Q318" s="2"/>
      <c r="R318" s="2"/>
      <c r="S318" s="2"/>
      <c r="T318" s="2"/>
      <c r="U318" s="2"/>
      <c r="V318" s="2"/>
      <c r="W318" s="2"/>
      <c r="X318" s="2"/>
      <c r="Y318" s="2"/>
      <c r="Z318" s="2"/>
    </row>
    <row r="319" ht="15.75" customHeight="1">
      <c r="A319" s="3" t="s">
        <v>1530</v>
      </c>
      <c r="B319" s="3" t="s">
        <v>1531</v>
      </c>
      <c r="C319" s="3" t="s">
        <v>1518</v>
      </c>
      <c r="D319" s="3" t="s">
        <v>1126</v>
      </c>
      <c r="E319" s="3" t="s">
        <v>1532</v>
      </c>
      <c r="F319" s="3" t="s">
        <v>1271</v>
      </c>
      <c r="G319" s="3" t="s">
        <v>1533</v>
      </c>
      <c r="H319" s="9" t="s">
        <v>1273</v>
      </c>
      <c r="I319" s="2"/>
      <c r="J319" s="2"/>
      <c r="K319" s="2"/>
      <c r="L319" s="3" t="s">
        <v>1534</v>
      </c>
      <c r="M319" s="6" t="s">
        <v>1535</v>
      </c>
      <c r="N319" s="2"/>
      <c r="O319" s="2"/>
      <c r="P319" s="2"/>
      <c r="Q319" s="2"/>
      <c r="R319" s="2"/>
      <c r="S319" s="2"/>
      <c r="T319" s="2"/>
      <c r="U319" s="2"/>
      <c r="V319" s="2"/>
      <c r="W319" s="2"/>
      <c r="X319" s="2"/>
      <c r="Y319" s="2"/>
      <c r="Z319" s="2"/>
    </row>
    <row r="320" ht="15.75" customHeight="1">
      <c r="A320" s="3" t="s">
        <v>1536</v>
      </c>
      <c r="B320" s="3" t="s">
        <v>1537</v>
      </c>
      <c r="C320" s="3" t="s">
        <v>1518</v>
      </c>
      <c r="D320" s="3" t="s">
        <v>1126</v>
      </c>
      <c r="E320" s="3" t="s">
        <v>1126</v>
      </c>
      <c r="F320" s="9" t="s">
        <v>737</v>
      </c>
      <c r="G320" s="2"/>
      <c r="H320" s="3" t="s">
        <v>738</v>
      </c>
      <c r="I320" s="3" t="s">
        <v>739</v>
      </c>
      <c r="J320" s="2"/>
      <c r="K320" s="2"/>
      <c r="L320" s="2"/>
      <c r="M320" s="2"/>
      <c r="N320" s="2"/>
      <c r="O320" s="2"/>
      <c r="P320" s="2"/>
      <c r="Q320" s="2"/>
      <c r="R320" s="2"/>
      <c r="S320" s="2"/>
      <c r="T320" s="2"/>
      <c r="U320" s="2"/>
      <c r="V320" s="2"/>
      <c r="W320" s="2"/>
      <c r="X320" s="2"/>
      <c r="Y320" s="2"/>
      <c r="Z320" s="2"/>
    </row>
    <row r="321" ht="15.75" customHeight="1">
      <c r="A321" s="3" t="s">
        <v>1538</v>
      </c>
      <c r="B321" s="3" t="s">
        <v>1539</v>
      </c>
      <c r="C321" s="3" t="s">
        <v>1518</v>
      </c>
      <c r="D321" s="3" t="s">
        <v>1126</v>
      </c>
      <c r="E321" s="3" t="s">
        <v>1126</v>
      </c>
      <c r="F321" s="3" t="s">
        <v>1540</v>
      </c>
      <c r="G321" s="3" t="s">
        <v>1541</v>
      </c>
      <c r="H321" s="3" t="s">
        <v>1009</v>
      </c>
      <c r="I321" s="3" t="s">
        <v>1542</v>
      </c>
      <c r="J321" s="2"/>
      <c r="K321" s="2"/>
      <c r="L321" s="2"/>
      <c r="M321" s="2"/>
      <c r="N321" s="2"/>
      <c r="O321" s="2"/>
      <c r="P321" s="2"/>
      <c r="Q321" s="2"/>
      <c r="R321" s="2"/>
      <c r="S321" s="2"/>
      <c r="T321" s="2"/>
      <c r="U321" s="2"/>
      <c r="V321" s="2"/>
      <c r="W321" s="2"/>
      <c r="X321" s="2"/>
      <c r="Y321" s="2"/>
      <c r="Z321" s="2"/>
    </row>
    <row r="322" ht="15.75" customHeight="1">
      <c r="A322" s="3" t="s">
        <v>1543</v>
      </c>
      <c r="B322" s="3" t="s">
        <v>375</v>
      </c>
      <c r="C322" s="3" t="s">
        <v>1518</v>
      </c>
      <c r="D322" s="3" t="s">
        <v>1126</v>
      </c>
      <c r="E322" s="3" t="s">
        <v>1126</v>
      </c>
      <c r="F322" s="3" t="s">
        <v>1544</v>
      </c>
      <c r="G322" s="3" t="s">
        <v>1545</v>
      </c>
      <c r="H322" s="3" t="s">
        <v>1546</v>
      </c>
      <c r="I322" s="3" t="s">
        <v>1547</v>
      </c>
      <c r="J322" s="9" t="s">
        <v>1548</v>
      </c>
      <c r="K322" s="2"/>
      <c r="L322" s="2"/>
      <c r="M322" s="2"/>
      <c r="N322" s="2"/>
      <c r="O322" s="2"/>
      <c r="P322" s="2"/>
      <c r="Q322" s="2"/>
      <c r="R322" s="2"/>
      <c r="S322" s="2"/>
      <c r="T322" s="2"/>
      <c r="U322" s="2"/>
      <c r="V322" s="2"/>
      <c r="W322" s="2"/>
      <c r="X322" s="2"/>
      <c r="Y322" s="2"/>
      <c r="Z322" s="2"/>
    </row>
    <row r="323" ht="15.75" customHeight="1">
      <c r="A323" s="3" t="s">
        <v>1549</v>
      </c>
      <c r="B323" s="3" t="s">
        <v>375</v>
      </c>
      <c r="C323" s="3" t="s">
        <v>1518</v>
      </c>
      <c r="D323" s="3" t="s">
        <v>1126</v>
      </c>
      <c r="E323" s="3" t="s">
        <v>1126</v>
      </c>
      <c r="F323" s="3" t="s">
        <v>1544</v>
      </c>
      <c r="G323" s="3" t="s">
        <v>1550</v>
      </c>
      <c r="H323" s="3" t="s">
        <v>1546</v>
      </c>
      <c r="I323" s="3" t="s">
        <v>1547</v>
      </c>
      <c r="J323" s="9" t="s">
        <v>1548</v>
      </c>
      <c r="K323" s="2"/>
      <c r="L323" s="2"/>
      <c r="M323" s="2"/>
      <c r="N323" s="2"/>
      <c r="O323" s="2"/>
      <c r="P323" s="2"/>
      <c r="Q323" s="2"/>
      <c r="R323" s="2"/>
      <c r="S323" s="2"/>
      <c r="T323" s="2"/>
      <c r="U323" s="2"/>
      <c r="V323" s="2"/>
      <c r="W323" s="2"/>
      <c r="X323" s="2"/>
      <c r="Y323" s="2"/>
      <c r="Z323" s="2"/>
    </row>
    <row r="324" ht="15.75" customHeight="1">
      <c r="A324" s="3" t="s">
        <v>1551</v>
      </c>
      <c r="B324" s="3" t="s">
        <v>375</v>
      </c>
      <c r="C324" s="3" t="s">
        <v>1518</v>
      </c>
      <c r="D324" s="3" t="s">
        <v>1126</v>
      </c>
      <c r="E324" s="3" t="s">
        <v>1126</v>
      </c>
      <c r="F324" s="3" t="s">
        <v>1544</v>
      </c>
      <c r="G324" s="3" t="s">
        <v>1552</v>
      </c>
      <c r="H324" s="3" t="s">
        <v>1546</v>
      </c>
      <c r="I324" s="3" t="s">
        <v>1547</v>
      </c>
      <c r="J324" s="9" t="s">
        <v>1548</v>
      </c>
      <c r="K324" s="2"/>
      <c r="L324" s="2"/>
      <c r="M324" s="2"/>
      <c r="N324" s="2"/>
      <c r="O324" s="2"/>
      <c r="P324" s="2"/>
      <c r="Q324" s="2"/>
      <c r="R324" s="2"/>
      <c r="S324" s="2"/>
      <c r="T324" s="2"/>
      <c r="U324" s="2"/>
      <c r="V324" s="2"/>
      <c r="W324" s="2"/>
      <c r="X324" s="2"/>
      <c r="Y324" s="2"/>
      <c r="Z324" s="2"/>
    </row>
    <row r="325" ht="15.75" customHeight="1">
      <c r="A325" s="3" t="s">
        <v>1553</v>
      </c>
      <c r="B325" s="3" t="s">
        <v>375</v>
      </c>
      <c r="C325" s="3" t="s">
        <v>1518</v>
      </c>
      <c r="D325" s="3" t="s">
        <v>1126</v>
      </c>
      <c r="E325" s="3" t="s">
        <v>1126</v>
      </c>
      <c r="F325" s="3" t="s">
        <v>1544</v>
      </c>
      <c r="G325" s="3" t="s">
        <v>1554</v>
      </c>
      <c r="H325" s="3" t="s">
        <v>1546</v>
      </c>
      <c r="I325" s="3" t="s">
        <v>1547</v>
      </c>
      <c r="J325" s="9" t="s">
        <v>1548</v>
      </c>
      <c r="K325" s="2"/>
      <c r="L325" s="2"/>
      <c r="M325" s="2"/>
      <c r="N325" s="2"/>
      <c r="O325" s="2"/>
      <c r="P325" s="2"/>
      <c r="Q325" s="2"/>
      <c r="R325" s="2"/>
      <c r="S325" s="2"/>
      <c r="T325" s="2"/>
      <c r="U325" s="2"/>
      <c r="V325" s="2"/>
      <c r="W325" s="2"/>
      <c r="X325" s="2"/>
      <c r="Y325" s="2"/>
      <c r="Z325" s="2"/>
    </row>
    <row r="326" ht="15.75" customHeight="1">
      <c r="A326" s="3" t="s">
        <v>1555</v>
      </c>
      <c r="B326" s="3" t="s">
        <v>375</v>
      </c>
      <c r="C326" s="3" t="s">
        <v>1556</v>
      </c>
      <c r="D326" s="3" t="s">
        <v>1557</v>
      </c>
      <c r="E326" s="3" t="s">
        <v>1126</v>
      </c>
      <c r="F326" s="3" t="s">
        <v>790</v>
      </c>
      <c r="G326" s="3" t="s">
        <v>1558</v>
      </c>
      <c r="H326" s="3" t="s">
        <v>404</v>
      </c>
      <c r="I326" s="2"/>
      <c r="J326" s="9" t="s">
        <v>792</v>
      </c>
      <c r="K326" s="2"/>
      <c r="L326" s="2"/>
      <c r="M326" s="6" t="s">
        <v>1559</v>
      </c>
      <c r="N326" s="2"/>
      <c r="O326" s="2"/>
      <c r="P326" s="2"/>
      <c r="Q326" s="2"/>
      <c r="R326" s="2"/>
      <c r="S326" s="2"/>
      <c r="T326" s="2"/>
      <c r="U326" s="2"/>
      <c r="V326" s="2"/>
      <c r="W326" s="2"/>
      <c r="X326" s="2"/>
      <c r="Y326" s="2"/>
      <c r="Z326" s="2"/>
    </row>
    <row r="327" ht="15.75" customHeight="1">
      <c r="A327" s="3" t="s">
        <v>1560</v>
      </c>
      <c r="B327" s="3" t="s">
        <v>375</v>
      </c>
      <c r="C327" s="3" t="s">
        <v>1561</v>
      </c>
      <c r="D327" s="3" t="s">
        <v>1126</v>
      </c>
      <c r="E327" s="3" t="s">
        <v>1562</v>
      </c>
      <c r="F327" s="3" t="s">
        <v>790</v>
      </c>
      <c r="G327" s="3" t="s">
        <v>1563</v>
      </c>
      <c r="H327" s="3" t="s">
        <v>404</v>
      </c>
      <c r="I327" s="2"/>
      <c r="J327" s="3" t="s">
        <v>792</v>
      </c>
      <c r="K327" s="3" t="s">
        <v>1564</v>
      </c>
      <c r="L327" s="9" t="s">
        <v>1565</v>
      </c>
      <c r="M327" s="2"/>
      <c r="N327" s="2"/>
      <c r="O327" s="2"/>
      <c r="P327" s="2"/>
      <c r="Q327" s="2"/>
      <c r="R327" s="2"/>
      <c r="S327" s="2"/>
      <c r="T327" s="2"/>
      <c r="U327" s="2"/>
      <c r="V327" s="2"/>
      <c r="W327" s="2"/>
      <c r="X327" s="2"/>
      <c r="Y327" s="2"/>
      <c r="Z327" s="2"/>
    </row>
    <row r="328" ht="15.75" customHeight="1">
      <c r="A328" s="3" t="s">
        <v>1566</v>
      </c>
      <c r="B328" s="3" t="s">
        <v>375</v>
      </c>
      <c r="C328" s="3" t="s">
        <v>1567</v>
      </c>
      <c r="D328" s="33" t="s">
        <v>795</v>
      </c>
      <c r="E328" s="3" t="s">
        <v>1568</v>
      </c>
      <c r="F328" s="3" t="s">
        <v>797</v>
      </c>
      <c r="G328" s="3" t="s">
        <v>1569</v>
      </c>
      <c r="H328" s="3" t="s">
        <v>799</v>
      </c>
      <c r="I328" s="3" t="s">
        <v>800</v>
      </c>
      <c r="J328" s="9" t="s">
        <v>801</v>
      </c>
      <c r="K328" s="2"/>
      <c r="L328" s="2"/>
      <c r="M328" s="2"/>
      <c r="N328" s="2"/>
      <c r="O328" s="2"/>
      <c r="P328" s="2"/>
      <c r="Q328" s="2"/>
      <c r="R328" s="2"/>
      <c r="S328" s="2"/>
      <c r="T328" s="2"/>
      <c r="U328" s="2"/>
      <c r="V328" s="2"/>
      <c r="W328" s="2"/>
      <c r="X328" s="2"/>
      <c r="Y328" s="2"/>
      <c r="Z328" s="2"/>
    </row>
    <row r="329" ht="15.75" customHeight="1">
      <c r="A329" s="3" t="s">
        <v>1570</v>
      </c>
      <c r="B329" s="3" t="s">
        <v>375</v>
      </c>
      <c r="C329" s="3" t="s">
        <v>1567</v>
      </c>
      <c r="D329" s="33" t="s">
        <v>795</v>
      </c>
      <c r="E329" s="3" t="s">
        <v>1568</v>
      </c>
      <c r="F329" s="3" t="s">
        <v>797</v>
      </c>
      <c r="G329" s="3" t="s">
        <v>1571</v>
      </c>
      <c r="H329" s="3" t="s">
        <v>799</v>
      </c>
      <c r="I329" s="3" t="s">
        <v>800</v>
      </c>
      <c r="J329" s="9" t="s">
        <v>801</v>
      </c>
      <c r="K329" s="2"/>
      <c r="L329" s="2"/>
      <c r="M329" s="2"/>
      <c r="N329" s="2"/>
      <c r="O329" s="2"/>
      <c r="P329" s="2"/>
      <c r="Q329" s="2"/>
      <c r="R329" s="2"/>
      <c r="S329" s="2"/>
      <c r="T329" s="2"/>
      <c r="U329" s="2"/>
      <c r="V329" s="2"/>
      <c r="W329" s="2"/>
      <c r="X329" s="2"/>
      <c r="Y329" s="2"/>
      <c r="Z329" s="2"/>
    </row>
    <row r="330" ht="15.75" customHeight="1">
      <c r="A330" s="3" t="s">
        <v>1572</v>
      </c>
      <c r="B330" s="3" t="s">
        <v>375</v>
      </c>
      <c r="C330" s="3" t="s">
        <v>1567</v>
      </c>
      <c r="D330" s="33" t="s">
        <v>795</v>
      </c>
      <c r="E330" s="3" t="s">
        <v>1568</v>
      </c>
      <c r="F330" s="3" t="s">
        <v>797</v>
      </c>
      <c r="G330" s="3" t="s">
        <v>1573</v>
      </c>
      <c r="H330" s="3" t="s">
        <v>799</v>
      </c>
      <c r="I330" s="3" t="s">
        <v>800</v>
      </c>
      <c r="J330" s="9" t="s">
        <v>801</v>
      </c>
      <c r="K330" s="2"/>
      <c r="L330" s="2"/>
      <c r="M330" s="2"/>
      <c r="N330" s="2"/>
      <c r="O330" s="2"/>
      <c r="P330" s="2"/>
      <c r="Q330" s="2"/>
      <c r="R330" s="2"/>
      <c r="S330" s="2"/>
      <c r="T330" s="2"/>
      <c r="U330" s="2"/>
      <c r="V330" s="2"/>
      <c r="W330" s="2"/>
      <c r="X330" s="2"/>
      <c r="Y330" s="2"/>
      <c r="Z330" s="2"/>
    </row>
    <row r="331" ht="15.75" customHeight="1">
      <c r="A331" s="3" t="s">
        <v>1574</v>
      </c>
      <c r="B331" s="3" t="s">
        <v>375</v>
      </c>
      <c r="C331" s="3" t="s">
        <v>1567</v>
      </c>
      <c r="D331" s="33" t="s">
        <v>795</v>
      </c>
      <c r="E331" s="3" t="s">
        <v>1568</v>
      </c>
      <c r="F331" s="3" t="s">
        <v>797</v>
      </c>
      <c r="G331" s="3" t="s">
        <v>1575</v>
      </c>
      <c r="H331" s="3" t="s">
        <v>799</v>
      </c>
      <c r="I331" s="3" t="s">
        <v>800</v>
      </c>
      <c r="J331" s="9" t="s">
        <v>801</v>
      </c>
      <c r="K331" s="2"/>
      <c r="L331" s="2"/>
      <c r="M331" s="2"/>
      <c r="N331" s="2"/>
      <c r="O331" s="2"/>
      <c r="P331" s="2"/>
      <c r="Q331" s="2"/>
      <c r="R331" s="2"/>
      <c r="S331" s="2"/>
      <c r="T331" s="2"/>
      <c r="U331" s="2"/>
      <c r="V331" s="2"/>
      <c r="W331" s="2"/>
      <c r="X331" s="2"/>
      <c r="Y331" s="2"/>
      <c r="Z331" s="2"/>
    </row>
    <row r="332" ht="15.75" customHeight="1">
      <c r="A332" s="3" t="s">
        <v>1576</v>
      </c>
      <c r="B332" s="3" t="s">
        <v>375</v>
      </c>
      <c r="C332" s="3" t="s">
        <v>1567</v>
      </c>
      <c r="D332" s="33" t="s">
        <v>795</v>
      </c>
      <c r="E332" s="3" t="s">
        <v>1568</v>
      </c>
      <c r="F332" s="3" t="s">
        <v>797</v>
      </c>
      <c r="G332" s="3" t="s">
        <v>1573</v>
      </c>
      <c r="H332" s="3" t="s">
        <v>799</v>
      </c>
      <c r="I332" s="3" t="s">
        <v>800</v>
      </c>
      <c r="J332" s="9" t="s">
        <v>801</v>
      </c>
      <c r="K332" s="2"/>
      <c r="L332" s="2"/>
      <c r="M332" s="2"/>
      <c r="N332" s="2"/>
      <c r="O332" s="2"/>
      <c r="P332" s="2"/>
      <c r="Q332" s="2"/>
      <c r="R332" s="2"/>
      <c r="S332" s="2"/>
      <c r="T332" s="2"/>
      <c r="U332" s="2"/>
      <c r="V332" s="2"/>
      <c r="W332" s="2"/>
      <c r="X332" s="2"/>
      <c r="Y332" s="2"/>
      <c r="Z332" s="2"/>
    </row>
    <row r="333" ht="15.75" customHeight="1">
      <c r="A333" s="3" t="s">
        <v>1577</v>
      </c>
      <c r="B333" s="3" t="s">
        <v>375</v>
      </c>
      <c r="C333" s="3" t="s">
        <v>1567</v>
      </c>
      <c r="D333" s="33" t="s">
        <v>795</v>
      </c>
      <c r="E333" s="3" t="s">
        <v>1568</v>
      </c>
      <c r="F333" s="3" t="s">
        <v>797</v>
      </c>
      <c r="G333" s="3" t="s">
        <v>1569</v>
      </c>
      <c r="H333" s="3" t="s">
        <v>799</v>
      </c>
      <c r="I333" s="3" t="s">
        <v>800</v>
      </c>
      <c r="J333" s="9" t="s">
        <v>801</v>
      </c>
      <c r="K333" s="2"/>
      <c r="L333" s="2"/>
      <c r="M333" s="2"/>
      <c r="N333" s="2"/>
      <c r="O333" s="2"/>
      <c r="P333" s="2"/>
      <c r="Q333" s="2"/>
      <c r="R333" s="2"/>
      <c r="S333" s="2"/>
      <c r="T333" s="2"/>
      <c r="U333" s="2"/>
      <c r="V333" s="2"/>
      <c r="W333" s="2"/>
      <c r="X333" s="2"/>
      <c r="Y333" s="2"/>
      <c r="Z333" s="2"/>
    </row>
    <row r="334" ht="15.75" customHeight="1">
      <c r="A334" s="3" t="s">
        <v>1578</v>
      </c>
      <c r="B334" s="3" t="s">
        <v>375</v>
      </c>
      <c r="C334" s="3" t="s">
        <v>1567</v>
      </c>
      <c r="D334" s="33" t="s">
        <v>795</v>
      </c>
      <c r="E334" s="3" t="s">
        <v>1568</v>
      </c>
      <c r="F334" s="3" t="s">
        <v>797</v>
      </c>
      <c r="G334" s="3" t="s">
        <v>1575</v>
      </c>
      <c r="H334" s="3" t="s">
        <v>799</v>
      </c>
      <c r="I334" s="3" t="s">
        <v>800</v>
      </c>
      <c r="J334" s="9" t="s">
        <v>801</v>
      </c>
      <c r="K334" s="2"/>
      <c r="L334" s="2"/>
      <c r="M334" s="2"/>
      <c r="N334" s="2"/>
      <c r="O334" s="2"/>
      <c r="P334" s="2"/>
      <c r="Q334" s="2"/>
      <c r="R334" s="2"/>
      <c r="S334" s="2"/>
      <c r="T334" s="2"/>
      <c r="U334" s="2"/>
      <c r="V334" s="2"/>
      <c r="W334" s="2"/>
      <c r="X334" s="2"/>
      <c r="Y334" s="2"/>
      <c r="Z334" s="2"/>
    </row>
    <row r="335" ht="15.75" customHeight="1">
      <c r="A335" s="3" t="s">
        <v>1579</v>
      </c>
      <c r="B335" s="3" t="s">
        <v>375</v>
      </c>
      <c r="C335" s="3" t="s">
        <v>1567</v>
      </c>
      <c r="D335" s="33" t="s">
        <v>795</v>
      </c>
      <c r="E335" s="3" t="s">
        <v>1568</v>
      </c>
      <c r="F335" s="3" t="s">
        <v>797</v>
      </c>
      <c r="G335" s="3" t="s">
        <v>1580</v>
      </c>
      <c r="H335" s="3" t="s">
        <v>799</v>
      </c>
      <c r="I335" s="3" t="s">
        <v>800</v>
      </c>
      <c r="J335" s="9" t="s">
        <v>801</v>
      </c>
      <c r="K335" s="2"/>
      <c r="L335" s="2"/>
      <c r="M335" s="2"/>
      <c r="N335" s="2"/>
      <c r="O335" s="2"/>
      <c r="P335" s="2"/>
      <c r="Q335" s="2"/>
      <c r="R335" s="2"/>
      <c r="S335" s="2"/>
      <c r="T335" s="2"/>
      <c r="U335" s="2"/>
      <c r="V335" s="2"/>
      <c r="W335" s="2"/>
      <c r="X335" s="2"/>
      <c r="Y335" s="2"/>
      <c r="Z335" s="2"/>
    </row>
    <row r="336" ht="15.75" customHeight="1">
      <c r="A336" s="3" t="s">
        <v>1581</v>
      </c>
      <c r="B336" s="3" t="s">
        <v>375</v>
      </c>
      <c r="C336" s="3" t="s">
        <v>1567</v>
      </c>
      <c r="D336" s="33" t="s">
        <v>795</v>
      </c>
      <c r="E336" s="3" t="s">
        <v>1568</v>
      </c>
      <c r="F336" s="3" t="s">
        <v>797</v>
      </c>
      <c r="G336" s="3" t="s">
        <v>1571</v>
      </c>
      <c r="H336" s="3" t="s">
        <v>799</v>
      </c>
      <c r="I336" s="3" t="s">
        <v>800</v>
      </c>
      <c r="J336" s="9" t="s">
        <v>801</v>
      </c>
      <c r="K336" s="2"/>
      <c r="L336" s="2"/>
      <c r="M336" s="2"/>
      <c r="N336" s="2"/>
      <c r="O336" s="2"/>
      <c r="P336" s="2"/>
      <c r="Q336" s="2"/>
      <c r="R336" s="2"/>
      <c r="S336" s="2"/>
      <c r="T336" s="2"/>
      <c r="U336" s="2"/>
      <c r="V336" s="2"/>
      <c r="W336" s="2"/>
      <c r="X336" s="2"/>
      <c r="Y336" s="2"/>
      <c r="Z336" s="2"/>
    </row>
    <row r="337" ht="15.75" customHeight="1">
      <c r="A337" s="3" t="s">
        <v>1582</v>
      </c>
      <c r="B337" s="3" t="s">
        <v>375</v>
      </c>
      <c r="C337" s="3" t="s">
        <v>1567</v>
      </c>
      <c r="D337" s="33" t="s">
        <v>795</v>
      </c>
      <c r="E337" s="3" t="s">
        <v>1568</v>
      </c>
      <c r="F337" s="3" t="s">
        <v>797</v>
      </c>
      <c r="G337" s="3" t="s">
        <v>1571</v>
      </c>
      <c r="H337" s="3" t="s">
        <v>799</v>
      </c>
      <c r="I337" s="3" t="s">
        <v>800</v>
      </c>
      <c r="J337" s="9" t="s">
        <v>801</v>
      </c>
      <c r="K337" s="2"/>
      <c r="L337" s="2"/>
      <c r="M337" s="2"/>
      <c r="N337" s="2"/>
      <c r="O337" s="2"/>
      <c r="P337" s="2"/>
      <c r="Q337" s="2"/>
      <c r="R337" s="2"/>
      <c r="S337" s="2"/>
      <c r="T337" s="2"/>
      <c r="U337" s="2"/>
      <c r="V337" s="2"/>
      <c r="W337" s="2"/>
      <c r="X337" s="2"/>
      <c r="Y337" s="2"/>
      <c r="Z337" s="2"/>
    </row>
    <row r="338" ht="15.75" customHeight="1">
      <c r="A338" s="3" t="s">
        <v>1583</v>
      </c>
      <c r="B338" s="3" t="s">
        <v>375</v>
      </c>
      <c r="C338" s="3" t="s">
        <v>1567</v>
      </c>
      <c r="D338" s="33" t="s">
        <v>795</v>
      </c>
      <c r="E338" s="3" t="s">
        <v>1568</v>
      </c>
      <c r="F338" s="3" t="s">
        <v>797</v>
      </c>
      <c r="G338" s="3" t="s">
        <v>1571</v>
      </c>
      <c r="H338" s="3" t="s">
        <v>799</v>
      </c>
      <c r="I338" s="3" t="s">
        <v>800</v>
      </c>
      <c r="J338" s="9" t="s">
        <v>801</v>
      </c>
      <c r="K338" s="2"/>
      <c r="L338" s="2"/>
      <c r="M338" s="2"/>
      <c r="N338" s="2"/>
      <c r="O338" s="2"/>
      <c r="P338" s="2"/>
      <c r="Q338" s="2"/>
      <c r="R338" s="2"/>
      <c r="S338" s="2"/>
      <c r="T338" s="2"/>
      <c r="U338" s="2"/>
      <c r="V338" s="2"/>
      <c r="W338" s="2"/>
      <c r="X338" s="2"/>
      <c r="Y338" s="2"/>
      <c r="Z338" s="2"/>
    </row>
    <row r="339" ht="15.75" customHeight="1">
      <c r="A339" s="3" t="s">
        <v>1584</v>
      </c>
      <c r="B339" s="3" t="s">
        <v>375</v>
      </c>
      <c r="C339" s="3" t="s">
        <v>1567</v>
      </c>
      <c r="D339" s="33" t="s">
        <v>795</v>
      </c>
      <c r="E339" s="3" t="s">
        <v>1568</v>
      </c>
      <c r="F339" s="3" t="s">
        <v>797</v>
      </c>
      <c r="G339" s="3" t="s">
        <v>1571</v>
      </c>
      <c r="H339" s="3" t="s">
        <v>799</v>
      </c>
      <c r="I339" s="3" t="s">
        <v>800</v>
      </c>
      <c r="J339" s="9" t="s">
        <v>801</v>
      </c>
      <c r="K339" s="2"/>
      <c r="L339" s="2"/>
      <c r="M339" s="2"/>
      <c r="N339" s="2"/>
      <c r="O339" s="2"/>
      <c r="P339" s="2"/>
      <c r="Q339" s="2"/>
      <c r="R339" s="2"/>
      <c r="S339" s="2"/>
      <c r="T339" s="2"/>
      <c r="U339" s="2"/>
      <c r="V339" s="2"/>
      <c r="W339" s="2"/>
      <c r="X339" s="2"/>
      <c r="Y339" s="2"/>
      <c r="Z339" s="2"/>
    </row>
    <row r="340" ht="15.75" customHeight="1">
      <c r="A340" s="3" t="s">
        <v>1585</v>
      </c>
      <c r="B340" s="3" t="s">
        <v>789</v>
      </c>
      <c r="C340" s="3" t="s">
        <v>1586</v>
      </c>
      <c r="D340" s="3" t="s">
        <v>1126</v>
      </c>
      <c r="E340" s="3" t="s">
        <v>1587</v>
      </c>
      <c r="F340" s="9" t="s">
        <v>1588</v>
      </c>
      <c r="G340" s="2"/>
      <c r="H340" s="3" t="s">
        <v>799</v>
      </c>
      <c r="I340" s="3" t="s">
        <v>800</v>
      </c>
      <c r="J340" s="9" t="s">
        <v>801</v>
      </c>
      <c r="K340" s="2"/>
      <c r="L340" s="2"/>
      <c r="M340" s="2"/>
      <c r="N340" s="2"/>
      <c r="O340" s="2"/>
      <c r="P340" s="2"/>
      <c r="Q340" s="2"/>
      <c r="R340" s="2"/>
      <c r="S340" s="2"/>
      <c r="T340" s="2"/>
      <c r="U340" s="2"/>
      <c r="V340" s="2"/>
      <c r="W340" s="2"/>
      <c r="X340" s="2"/>
      <c r="Y340" s="2"/>
      <c r="Z340" s="2"/>
    </row>
    <row r="341" ht="15.75" customHeight="1">
      <c r="A341" s="3" t="s">
        <v>1589</v>
      </c>
      <c r="B341" s="3" t="s">
        <v>789</v>
      </c>
      <c r="C341" s="3" t="s">
        <v>1586</v>
      </c>
      <c r="D341" s="3" t="s">
        <v>1126</v>
      </c>
      <c r="E341" s="3" t="s">
        <v>1590</v>
      </c>
      <c r="F341" s="9" t="s">
        <v>1588</v>
      </c>
      <c r="G341" s="2"/>
      <c r="H341" s="3" t="s">
        <v>799</v>
      </c>
      <c r="I341" s="3" t="s">
        <v>800</v>
      </c>
      <c r="J341" s="9" t="s">
        <v>801</v>
      </c>
      <c r="K341" s="2"/>
      <c r="L341" s="2"/>
      <c r="M341" s="2"/>
      <c r="N341" s="2"/>
      <c r="O341" s="2"/>
      <c r="P341" s="2"/>
      <c r="Q341" s="2"/>
      <c r="R341" s="2"/>
      <c r="S341" s="2"/>
      <c r="T341" s="2"/>
      <c r="U341" s="2"/>
      <c r="V341" s="2"/>
      <c r="W341" s="2"/>
      <c r="X341" s="2"/>
      <c r="Y341" s="2"/>
      <c r="Z341" s="2"/>
    </row>
    <row r="342" ht="15.75" customHeight="1">
      <c r="A342" s="3" t="s">
        <v>1591</v>
      </c>
      <c r="B342" s="3" t="s">
        <v>789</v>
      </c>
      <c r="C342" s="3" t="s">
        <v>1586</v>
      </c>
      <c r="D342" s="3" t="s">
        <v>1126</v>
      </c>
      <c r="E342" s="3" t="s">
        <v>1590</v>
      </c>
      <c r="F342" s="9" t="s">
        <v>1588</v>
      </c>
      <c r="G342" s="2"/>
      <c r="H342" s="3" t="s">
        <v>799</v>
      </c>
      <c r="I342" s="3" t="s">
        <v>800</v>
      </c>
      <c r="J342" s="9" t="s">
        <v>801</v>
      </c>
      <c r="K342" s="2"/>
      <c r="L342" s="2"/>
      <c r="M342" s="2"/>
      <c r="N342" s="2"/>
      <c r="O342" s="2"/>
      <c r="P342" s="2"/>
      <c r="Q342" s="2"/>
      <c r="R342" s="2"/>
      <c r="S342" s="2"/>
      <c r="T342" s="2"/>
      <c r="U342" s="2"/>
      <c r="V342" s="2"/>
      <c r="W342" s="2"/>
      <c r="X342" s="2"/>
      <c r="Y342" s="2"/>
      <c r="Z342" s="2"/>
    </row>
    <row r="343" ht="15.75" customHeight="1">
      <c r="A343" s="3" t="s">
        <v>1592</v>
      </c>
      <c r="B343" s="3" t="s">
        <v>789</v>
      </c>
      <c r="C343" s="3" t="s">
        <v>1586</v>
      </c>
      <c r="D343" s="3" t="s">
        <v>1126</v>
      </c>
      <c r="E343" s="3" t="s">
        <v>1593</v>
      </c>
      <c r="F343" s="9" t="s">
        <v>1588</v>
      </c>
      <c r="G343" s="2"/>
      <c r="H343" s="3" t="s">
        <v>799</v>
      </c>
      <c r="I343" s="3" t="s">
        <v>800</v>
      </c>
      <c r="J343" s="9" t="s">
        <v>801</v>
      </c>
      <c r="K343" s="2"/>
      <c r="L343" s="2"/>
      <c r="M343" s="2"/>
      <c r="N343" s="2"/>
      <c r="O343" s="2"/>
      <c r="P343" s="2"/>
      <c r="Q343" s="2"/>
      <c r="R343" s="2"/>
      <c r="S343" s="2"/>
      <c r="T343" s="2"/>
      <c r="U343" s="2"/>
      <c r="V343" s="2"/>
      <c r="W343" s="2"/>
      <c r="X343" s="2"/>
      <c r="Y343" s="2"/>
      <c r="Z343" s="2"/>
    </row>
    <row r="344" ht="15.75" customHeight="1">
      <c r="A344" s="3" t="s">
        <v>1594</v>
      </c>
      <c r="B344" s="3" t="s">
        <v>789</v>
      </c>
      <c r="C344" s="3" t="s">
        <v>1586</v>
      </c>
      <c r="D344" s="3" t="s">
        <v>1126</v>
      </c>
      <c r="E344" s="3" t="s">
        <v>1587</v>
      </c>
      <c r="F344" s="3" t="s">
        <v>1588</v>
      </c>
      <c r="G344" s="3" t="s">
        <v>1595</v>
      </c>
      <c r="H344" s="3" t="s">
        <v>799</v>
      </c>
      <c r="I344" s="3" t="s">
        <v>800</v>
      </c>
      <c r="J344" s="9" t="s">
        <v>801</v>
      </c>
      <c r="K344" s="2"/>
      <c r="L344" s="2"/>
      <c r="M344" s="2"/>
      <c r="N344" s="2"/>
      <c r="O344" s="2"/>
      <c r="P344" s="2"/>
      <c r="Q344" s="2"/>
      <c r="R344" s="2"/>
      <c r="S344" s="2"/>
      <c r="T344" s="2"/>
      <c r="U344" s="2"/>
      <c r="V344" s="2"/>
      <c r="W344" s="2"/>
      <c r="X344" s="2"/>
      <c r="Y344" s="2"/>
      <c r="Z344" s="2"/>
    </row>
    <row r="345" ht="15.75" customHeight="1">
      <c r="A345" s="3" t="s">
        <v>1596</v>
      </c>
      <c r="B345" s="3" t="s">
        <v>789</v>
      </c>
      <c r="C345" s="3" t="s">
        <v>1586</v>
      </c>
      <c r="D345" s="3" t="s">
        <v>1126</v>
      </c>
      <c r="E345" s="3" t="s">
        <v>1590</v>
      </c>
      <c r="F345" s="9" t="s">
        <v>1588</v>
      </c>
      <c r="G345" s="2"/>
      <c r="H345" s="3" t="s">
        <v>799</v>
      </c>
      <c r="I345" s="3" t="s">
        <v>800</v>
      </c>
      <c r="J345" s="9" t="s">
        <v>801</v>
      </c>
      <c r="K345" s="2"/>
      <c r="L345" s="2"/>
      <c r="M345" s="2"/>
      <c r="N345" s="2"/>
      <c r="O345" s="2"/>
      <c r="P345" s="2"/>
      <c r="Q345" s="2"/>
      <c r="R345" s="2"/>
      <c r="S345" s="2"/>
      <c r="T345" s="2"/>
      <c r="U345" s="2"/>
      <c r="V345" s="2"/>
      <c r="W345" s="2"/>
      <c r="X345" s="2"/>
      <c r="Y345" s="2"/>
      <c r="Z345" s="2"/>
    </row>
    <row r="346" ht="15.75" customHeight="1">
      <c r="A346" s="3" t="s">
        <v>1597</v>
      </c>
      <c r="B346" s="3" t="s">
        <v>1598</v>
      </c>
      <c r="C346" s="3" t="s">
        <v>1518</v>
      </c>
      <c r="D346" s="3" t="s">
        <v>1126</v>
      </c>
      <c r="E346" s="3" t="s">
        <v>1126</v>
      </c>
      <c r="F346" s="3" t="s">
        <v>1599</v>
      </c>
      <c r="G346" s="3" t="s">
        <v>1600</v>
      </c>
      <c r="H346" s="3" t="s">
        <v>799</v>
      </c>
      <c r="I346" s="3" t="s">
        <v>800</v>
      </c>
      <c r="J346" s="9" t="s">
        <v>801</v>
      </c>
      <c r="K346" s="2"/>
      <c r="L346" s="2"/>
      <c r="M346" s="2"/>
      <c r="N346" s="2"/>
      <c r="O346" s="2"/>
      <c r="P346" s="2"/>
      <c r="Q346" s="2"/>
      <c r="R346" s="2"/>
      <c r="S346" s="2"/>
      <c r="T346" s="2"/>
      <c r="U346" s="2"/>
      <c r="V346" s="2"/>
      <c r="W346" s="2"/>
      <c r="X346" s="2"/>
      <c r="Y346" s="2"/>
      <c r="Z346" s="2"/>
    </row>
    <row r="347" ht="15.75" customHeight="1">
      <c r="A347" s="3" t="s">
        <v>1601</v>
      </c>
      <c r="B347" s="3" t="s">
        <v>1195</v>
      </c>
      <c r="C347" s="3" t="s">
        <v>1518</v>
      </c>
      <c r="D347" s="3" t="s">
        <v>1126</v>
      </c>
      <c r="E347" s="3" t="s">
        <v>1126</v>
      </c>
      <c r="F347" s="9" t="s">
        <v>1190</v>
      </c>
      <c r="G347" s="2"/>
      <c r="H347" s="3" t="s">
        <v>1191</v>
      </c>
      <c r="I347" s="3" t="s">
        <v>1192</v>
      </c>
      <c r="J347" s="9" t="s">
        <v>1193</v>
      </c>
      <c r="K347" s="2"/>
      <c r="L347" s="2"/>
      <c r="M347" s="2"/>
      <c r="N347" s="2"/>
      <c r="O347" s="2"/>
      <c r="P347" s="2"/>
      <c r="Q347" s="2"/>
      <c r="R347" s="2"/>
      <c r="S347" s="2"/>
      <c r="T347" s="2"/>
      <c r="U347" s="2"/>
      <c r="V347" s="2"/>
      <c r="W347" s="2"/>
      <c r="X347" s="2"/>
      <c r="Y347" s="2"/>
      <c r="Z347" s="2"/>
    </row>
    <row r="348" ht="15.75" customHeight="1">
      <c r="A348" s="3" t="s">
        <v>1602</v>
      </c>
      <c r="B348" s="3" t="s">
        <v>1603</v>
      </c>
      <c r="C348" s="3" t="s">
        <v>1518</v>
      </c>
      <c r="D348" s="3" t="s">
        <v>1126</v>
      </c>
      <c r="E348" s="3" t="s">
        <v>1126</v>
      </c>
      <c r="F348" s="3" t="s">
        <v>1604</v>
      </c>
      <c r="G348" s="3" t="s">
        <v>1605</v>
      </c>
      <c r="H348" s="3" t="s">
        <v>1606</v>
      </c>
      <c r="I348" s="3" t="s">
        <v>1607</v>
      </c>
      <c r="J348" s="9" t="s">
        <v>1608</v>
      </c>
      <c r="K348" s="2"/>
      <c r="L348" s="2"/>
      <c r="M348" s="2"/>
      <c r="N348" s="2"/>
      <c r="O348" s="2"/>
      <c r="P348" s="2"/>
      <c r="Q348" s="2"/>
      <c r="R348" s="2"/>
      <c r="S348" s="2"/>
      <c r="T348" s="2"/>
      <c r="U348" s="2"/>
      <c r="V348" s="2"/>
      <c r="W348" s="2"/>
      <c r="X348" s="2"/>
      <c r="Y348" s="2"/>
      <c r="Z348" s="2"/>
    </row>
    <row r="349" ht="15.75" customHeight="1">
      <c r="A349" s="3" t="s">
        <v>1609</v>
      </c>
      <c r="B349" s="3" t="s">
        <v>1610</v>
      </c>
      <c r="C349" s="3" t="s">
        <v>1518</v>
      </c>
      <c r="D349" s="3" t="s">
        <v>1126</v>
      </c>
      <c r="E349" s="9" t="s">
        <v>1126</v>
      </c>
      <c r="F349" s="2"/>
      <c r="G349" s="2"/>
      <c r="H349" s="3" t="s">
        <v>146</v>
      </c>
      <c r="I349" s="9" t="s">
        <v>1206</v>
      </c>
      <c r="J349" s="2"/>
      <c r="K349" s="2"/>
      <c r="L349" s="2"/>
      <c r="M349" s="6" t="s">
        <v>149</v>
      </c>
      <c r="N349" s="2"/>
      <c r="O349" s="2"/>
      <c r="P349" s="2"/>
      <c r="Q349" s="2"/>
      <c r="R349" s="2"/>
      <c r="S349" s="2"/>
      <c r="T349" s="2"/>
      <c r="U349" s="2"/>
      <c r="V349" s="2"/>
      <c r="W349" s="2"/>
      <c r="X349" s="2"/>
      <c r="Y349" s="2"/>
      <c r="Z349" s="2"/>
    </row>
    <row r="350" ht="15.75" customHeight="1">
      <c r="A350" s="3" t="s">
        <v>351</v>
      </c>
      <c r="B350" s="3" t="s">
        <v>1611</v>
      </c>
      <c r="C350" s="3" t="s">
        <v>1518</v>
      </c>
      <c r="D350" s="3" t="s">
        <v>1612</v>
      </c>
      <c r="E350" s="3" t="s">
        <v>1613</v>
      </c>
      <c r="F350" s="3" t="s">
        <v>1614</v>
      </c>
      <c r="G350" s="3" t="s">
        <v>1615</v>
      </c>
      <c r="H350" s="3" t="s">
        <v>356</v>
      </c>
      <c r="I350" s="9" t="s">
        <v>1616</v>
      </c>
      <c r="J350" s="2"/>
      <c r="K350" s="2"/>
      <c r="L350" s="3" t="s">
        <v>1617</v>
      </c>
      <c r="M350" s="6" t="s">
        <v>359</v>
      </c>
      <c r="N350" s="2"/>
      <c r="O350" s="2"/>
      <c r="P350" s="2"/>
      <c r="Q350" s="2"/>
      <c r="R350" s="2"/>
      <c r="S350" s="2"/>
      <c r="T350" s="2"/>
      <c r="U350" s="2"/>
      <c r="V350" s="2"/>
      <c r="W350" s="2"/>
      <c r="X350" s="2"/>
      <c r="Y350" s="2"/>
      <c r="Z350" s="2"/>
    </row>
    <row r="351" ht="15.75" customHeight="1">
      <c r="A351" s="3" t="s">
        <v>1618</v>
      </c>
      <c r="B351" s="3" t="s">
        <v>1619</v>
      </c>
      <c r="C351" s="3" t="s">
        <v>1518</v>
      </c>
      <c r="D351" s="3" t="s">
        <v>1126</v>
      </c>
      <c r="E351" s="3" t="s">
        <v>1126</v>
      </c>
      <c r="F351" s="3" t="s">
        <v>1126</v>
      </c>
      <c r="G351" s="3" t="s">
        <v>1620</v>
      </c>
      <c r="H351" s="3" t="s">
        <v>455</v>
      </c>
      <c r="I351" s="9" t="s">
        <v>1621</v>
      </c>
      <c r="J351" s="2"/>
      <c r="K351" s="9" t="s">
        <v>1622</v>
      </c>
      <c r="L351" s="2"/>
      <c r="M351" s="2"/>
      <c r="N351" s="2"/>
      <c r="O351" s="2"/>
      <c r="P351" s="2"/>
      <c r="Q351" s="2"/>
      <c r="R351" s="2"/>
      <c r="S351" s="2"/>
      <c r="T351" s="2"/>
      <c r="U351" s="2"/>
      <c r="V351" s="2"/>
      <c r="W351" s="2"/>
      <c r="X351" s="2"/>
      <c r="Y351" s="2"/>
      <c r="Z351" s="2"/>
    </row>
    <row r="352" ht="15.75" customHeight="1">
      <c r="A352" s="3" t="s">
        <v>1623</v>
      </c>
      <c r="B352" s="3" t="s">
        <v>1624</v>
      </c>
      <c r="C352" s="3" t="s">
        <v>1518</v>
      </c>
      <c r="D352" s="3" t="s">
        <v>1126</v>
      </c>
      <c r="E352" s="3" t="s">
        <v>1126</v>
      </c>
      <c r="F352" s="3" t="s">
        <v>1625</v>
      </c>
      <c r="G352" s="3" t="s">
        <v>1626</v>
      </c>
      <c r="H352" s="3" t="s">
        <v>1627</v>
      </c>
      <c r="I352" s="9" t="s">
        <v>1628</v>
      </c>
      <c r="J352" s="2"/>
      <c r="K352" s="2"/>
      <c r="L352" s="2"/>
      <c r="M352" s="2"/>
      <c r="N352" s="2"/>
      <c r="O352" s="2"/>
      <c r="P352" s="2"/>
      <c r="Q352" s="2"/>
      <c r="R352" s="2"/>
      <c r="S352" s="2"/>
      <c r="T352" s="2"/>
      <c r="U352" s="2"/>
      <c r="V352" s="2"/>
      <c r="W352" s="2"/>
      <c r="X352" s="2"/>
      <c r="Y352" s="2"/>
      <c r="Z352" s="2"/>
    </row>
    <row r="353" ht="15.75" customHeight="1">
      <c r="A353" s="3" t="s">
        <v>1629</v>
      </c>
      <c r="B353" s="3" t="s">
        <v>1630</v>
      </c>
      <c r="C353" s="3" t="s">
        <v>1518</v>
      </c>
      <c r="D353" s="3" t="s">
        <v>1126</v>
      </c>
      <c r="E353" s="3" t="s">
        <v>1126</v>
      </c>
      <c r="F353" s="3" t="s">
        <v>1126</v>
      </c>
      <c r="G353" s="3" t="s">
        <v>1631</v>
      </c>
      <c r="H353" s="3" t="s">
        <v>1632</v>
      </c>
      <c r="I353" s="9" t="s">
        <v>1633</v>
      </c>
      <c r="J353" s="2"/>
      <c r="K353" s="2"/>
      <c r="L353" s="2"/>
      <c r="M353" s="9" t="s">
        <v>1634</v>
      </c>
      <c r="N353" s="2"/>
      <c r="O353" s="2"/>
      <c r="P353" s="2"/>
      <c r="Q353" s="2"/>
      <c r="R353" s="2"/>
      <c r="S353" s="2"/>
      <c r="T353" s="2"/>
      <c r="U353" s="2"/>
      <c r="V353" s="2"/>
      <c r="W353" s="2"/>
      <c r="X353" s="2"/>
      <c r="Y353" s="2"/>
      <c r="Z353" s="2"/>
    </row>
    <row r="354" ht="15.75" customHeight="1">
      <c r="A354" s="3" t="s">
        <v>1635</v>
      </c>
      <c r="B354" s="3" t="s">
        <v>130</v>
      </c>
      <c r="C354" s="3" t="s">
        <v>1518</v>
      </c>
      <c r="D354" s="3" t="s">
        <v>1126</v>
      </c>
      <c r="E354" s="3" t="s">
        <v>1126</v>
      </c>
      <c r="F354" s="3" t="s">
        <v>1636</v>
      </c>
      <c r="G354" s="3" t="s">
        <v>1637</v>
      </c>
      <c r="H354" s="3" t="s">
        <v>1632</v>
      </c>
      <c r="I354" s="9" t="s">
        <v>1633</v>
      </c>
      <c r="J354" s="2"/>
      <c r="K354" s="2"/>
      <c r="L354" s="2"/>
      <c r="M354" s="6" t="s">
        <v>1638</v>
      </c>
      <c r="N354" s="2"/>
      <c r="O354" s="2"/>
      <c r="P354" s="2"/>
      <c r="Q354" s="2"/>
      <c r="R354" s="2"/>
      <c r="S354" s="2"/>
      <c r="T354" s="2"/>
      <c r="U354" s="2"/>
      <c r="V354" s="2"/>
      <c r="W354" s="2"/>
      <c r="X354" s="2"/>
      <c r="Y354" s="2"/>
      <c r="Z354" s="2"/>
    </row>
    <row r="355" ht="15.75" customHeight="1">
      <c r="A355" s="3" t="s">
        <v>1639</v>
      </c>
      <c r="B355" s="3" t="s">
        <v>1640</v>
      </c>
      <c r="C355" s="3" t="s">
        <v>1518</v>
      </c>
      <c r="D355" s="3" t="s">
        <v>1126</v>
      </c>
      <c r="E355" s="3" t="s">
        <v>1641</v>
      </c>
      <c r="F355" s="3" t="s">
        <v>1642</v>
      </c>
      <c r="G355" s="3" t="s">
        <v>1643</v>
      </c>
      <c r="H355" s="3" t="s">
        <v>1644</v>
      </c>
      <c r="I355" s="3" t="s">
        <v>1645</v>
      </c>
      <c r="J355" s="9" t="s">
        <v>1646</v>
      </c>
      <c r="K355" s="2"/>
      <c r="L355" s="3" t="s">
        <v>1647</v>
      </c>
      <c r="M355" s="6" t="s">
        <v>1648</v>
      </c>
      <c r="N355" s="2"/>
      <c r="O355" s="2"/>
      <c r="P355" s="2"/>
      <c r="Q355" s="2"/>
      <c r="R355" s="2"/>
      <c r="S355" s="2"/>
      <c r="T355" s="2"/>
      <c r="U355" s="2"/>
      <c r="V355" s="2"/>
      <c r="W355" s="2"/>
      <c r="X355" s="2"/>
      <c r="Y355" s="2"/>
      <c r="Z355" s="2"/>
    </row>
    <row r="356" ht="15.75" customHeight="1">
      <c r="A356" s="3" t="s">
        <v>1649</v>
      </c>
      <c r="B356" s="3" t="s">
        <v>1084</v>
      </c>
      <c r="C356" s="3" t="s">
        <v>1125</v>
      </c>
      <c r="D356" s="3" t="s">
        <v>1126</v>
      </c>
      <c r="E356" s="3" t="s">
        <v>1126</v>
      </c>
      <c r="F356" s="3" t="s">
        <v>1126</v>
      </c>
      <c r="G356" s="3" t="s">
        <v>1650</v>
      </c>
      <c r="H356" s="3" t="s">
        <v>1221</v>
      </c>
      <c r="I356" s="3" t="s">
        <v>1651</v>
      </c>
      <c r="J356" s="2"/>
      <c r="K356" s="2"/>
      <c r="L356" s="2"/>
      <c r="M356" s="2"/>
      <c r="N356" s="2"/>
      <c r="O356" s="2"/>
      <c r="P356" s="2"/>
      <c r="Q356" s="2"/>
      <c r="R356" s="2"/>
      <c r="S356" s="2"/>
      <c r="T356" s="2"/>
      <c r="U356" s="2"/>
      <c r="V356" s="2"/>
      <c r="W356" s="2"/>
      <c r="X356" s="2"/>
      <c r="Y356" s="2"/>
      <c r="Z356" s="2"/>
    </row>
    <row r="357" ht="15.75" customHeight="1">
      <c r="A357" s="3" t="s">
        <v>1652</v>
      </c>
      <c r="B357" s="3" t="s">
        <v>1653</v>
      </c>
      <c r="C357" s="3" t="s">
        <v>1518</v>
      </c>
      <c r="D357" s="3" t="s">
        <v>1126</v>
      </c>
      <c r="E357" s="3" t="s">
        <v>1654</v>
      </c>
      <c r="F357" s="9" t="s">
        <v>204</v>
      </c>
      <c r="G357" s="2"/>
      <c r="H357" s="2"/>
      <c r="I357" s="3" t="s">
        <v>1385</v>
      </c>
      <c r="J357" s="9" t="s">
        <v>1386</v>
      </c>
      <c r="K357" s="2"/>
      <c r="L357" s="3" t="s">
        <v>1655</v>
      </c>
      <c r="M357" s="6" t="s">
        <v>1656</v>
      </c>
      <c r="N357" s="2"/>
      <c r="O357" s="2"/>
      <c r="P357" s="2"/>
      <c r="Q357" s="2"/>
      <c r="R357" s="2"/>
      <c r="S357" s="2"/>
      <c r="T357" s="2"/>
      <c r="U357" s="2"/>
      <c r="V357" s="2"/>
      <c r="W357" s="2"/>
      <c r="X357" s="2"/>
      <c r="Y357" s="2"/>
      <c r="Z357" s="2"/>
    </row>
    <row r="358" ht="15.75" customHeight="1">
      <c r="A358" s="3" t="s">
        <v>1657</v>
      </c>
      <c r="B358" s="3" t="s">
        <v>1095</v>
      </c>
      <c r="C358" s="3" t="s">
        <v>1125</v>
      </c>
      <c r="D358" s="3" t="s">
        <v>1126</v>
      </c>
      <c r="E358" s="3" t="s">
        <v>1126</v>
      </c>
      <c r="F358" s="3" t="s">
        <v>204</v>
      </c>
      <c r="G358" s="3" t="s">
        <v>1658</v>
      </c>
      <c r="H358" s="3" t="s">
        <v>1093</v>
      </c>
      <c r="I358" s="9" t="s">
        <v>1070</v>
      </c>
      <c r="J358" s="2"/>
      <c r="K358" s="2"/>
      <c r="L358" s="2"/>
      <c r="M358" s="2"/>
      <c r="N358" s="2"/>
      <c r="O358" s="2"/>
      <c r="P358" s="2"/>
      <c r="Q358" s="2"/>
      <c r="R358" s="2"/>
      <c r="S358" s="2"/>
      <c r="T358" s="2"/>
      <c r="U358" s="2"/>
      <c r="V358" s="2"/>
      <c r="W358" s="2"/>
      <c r="X358" s="2"/>
      <c r="Y358" s="2"/>
      <c r="Z358" s="2"/>
    </row>
    <row r="359" ht="15.75" customHeight="1">
      <c r="A359" s="3" t="s">
        <v>1659</v>
      </c>
      <c r="B359" s="3" t="s">
        <v>1084</v>
      </c>
      <c r="C359" s="3" t="s">
        <v>1518</v>
      </c>
      <c r="D359" s="3" t="s">
        <v>1126</v>
      </c>
      <c r="E359" s="3" t="s">
        <v>1660</v>
      </c>
      <c r="F359" s="3" t="s">
        <v>204</v>
      </c>
      <c r="G359" s="3" t="s">
        <v>1661</v>
      </c>
      <c r="H359" s="3" t="s">
        <v>1662</v>
      </c>
      <c r="I359" s="2"/>
      <c r="J359" s="2"/>
      <c r="K359" s="2"/>
      <c r="L359" s="9" t="s">
        <v>1663</v>
      </c>
      <c r="M359" s="2"/>
      <c r="N359" s="2"/>
      <c r="O359" s="2"/>
      <c r="P359" s="2"/>
      <c r="Q359" s="2"/>
      <c r="R359" s="2"/>
      <c r="S359" s="2"/>
      <c r="T359" s="2"/>
      <c r="U359" s="2"/>
      <c r="V359" s="2"/>
      <c r="W359" s="2"/>
      <c r="X359" s="2"/>
      <c r="Y359" s="2"/>
      <c r="Z359" s="2"/>
    </row>
    <row r="360" ht="15.75" customHeight="1">
      <c r="A360" s="3" t="s">
        <v>1664</v>
      </c>
      <c r="B360" s="3" t="s">
        <v>1084</v>
      </c>
      <c r="C360" s="3" t="s">
        <v>1518</v>
      </c>
      <c r="D360" s="3" t="s">
        <v>1126</v>
      </c>
      <c r="E360" s="3" t="s">
        <v>1126</v>
      </c>
      <c r="F360" s="3" t="s">
        <v>1665</v>
      </c>
      <c r="G360" s="2"/>
      <c r="H360" s="3" t="s">
        <v>1666</v>
      </c>
      <c r="I360" s="2"/>
      <c r="J360" s="2"/>
      <c r="K360" s="2"/>
      <c r="L360" s="2"/>
      <c r="M360" s="6" t="s">
        <v>1667</v>
      </c>
      <c r="N360" s="2"/>
      <c r="O360" s="2"/>
      <c r="P360" s="2"/>
      <c r="Q360" s="2"/>
      <c r="R360" s="2"/>
      <c r="S360" s="2"/>
      <c r="T360" s="2"/>
      <c r="U360" s="2"/>
      <c r="V360" s="2"/>
      <c r="W360" s="2"/>
      <c r="X360" s="2"/>
      <c r="Y360" s="2"/>
      <c r="Z360" s="2"/>
    </row>
    <row r="361" ht="15.75" customHeight="1">
      <c r="A361" s="3" t="s">
        <v>1668</v>
      </c>
      <c r="B361" s="3" t="s">
        <v>973</v>
      </c>
      <c r="C361" s="3" t="s">
        <v>1518</v>
      </c>
      <c r="D361" s="3" t="s">
        <v>1669</v>
      </c>
      <c r="E361" s="3" t="s">
        <v>1670</v>
      </c>
      <c r="F361" s="9" t="s">
        <v>1636</v>
      </c>
      <c r="G361" s="2"/>
      <c r="H361" s="3" t="s">
        <v>1671</v>
      </c>
      <c r="I361" s="3" t="s">
        <v>1672</v>
      </c>
      <c r="J361" s="2"/>
      <c r="K361" s="2"/>
      <c r="L361" s="2"/>
      <c r="M361" s="2"/>
      <c r="N361" s="2"/>
      <c r="O361" s="2"/>
      <c r="P361" s="2"/>
      <c r="Q361" s="2"/>
      <c r="R361" s="2"/>
      <c r="S361" s="2"/>
      <c r="T361" s="2"/>
      <c r="U361" s="2"/>
      <c r="V361" s="2"/>
      <c r="W361" s="2"/>
      <c r="X361" s="2"/>
      <c r="Y361" s="2"/>
      <c r="Z361" s="2"/>
    </row>
    <row r="362" ht="15.75" customHeight="1">
      <c r="A362" s="3" t="s">
        <v>1673</v>
      </c>
      <c r="B362" s="3" t="s">
        <v>990</v>
      </c>
      <c r="C362" s="3" t="s">
        <v>1674</v>
      </c>
      <c r="D362" s="3" t="s">
        <v>1126</v>
      </c>
      <c r="E362" s="3" t="s">
        <v>1126</v>
      </c>
      <c r="F362" s="9" t="s">
        <v>1636</v>
      </c>
      <c r="G362" s="2"/>
      <c r="H362" s="3" t="s">
        <v>1675</v>
      </c>
      <c r="I362" s="3" t="s">
        <v>1676</v>
      </c>
      <c r="J362" s="2"/>
      <c r="K362" s="2"/>
      <c r="L362" s="2"/>
      <c r="M362" s="2"/>
      <c r="N362" s="2"/>
      <c r="O362" s="2"/>
      <c r="P362" s="2"/>
      <c r="Q362" s="2"/>
      <c r="R362" s="2"/>
      <c r="S362" s="2"/>
      <c r="T362" s="2"/>
      <c r="U362" s="2"/>
      <c r="V362" s="2"/>
      <c r="W362" s="2"/>
      <c r="X362" s="2"/>
      <c r="Y362" s="2"/>
      <c r="Z362" s="2"/>
    </row>
    <row r="363" ht="15.75" customHeight="1">
      <c r="A363" s="3" t="s">
        <v>1677</v>
      </c>
      <c r="B363" s="3" t="s">
        <v>1678</v>
      </c>
      <c r="C363" s="3" t="s">
        <v>1518</v>
      </c>
      <c r="D363" s="33" t="s">
        <v>795</v>
      </c>
      <c r="E363" s="3" t="s">
        <v>1679</v>
      </c>
      <c r="F363" s="9" t="s">
        <v>1636</v>
      </c>
      <c r="G363" s="2"/>
      <c r="H363" s="3" t="s">
        <v>1680</v>
      </c>
      <c r="I363" s="9" t="s">
        <v>1681</v>
      </c>
      <c r="J363" s="2"/>
      <c r="K363" s="2"/>
      <c r="L363" s="2"/>
      <c r="M363" s="2"/>
      <c r="N363" s="2"/>
      <c r="O363" s="2"/>
      <c r="P363" s="2"/>
      <c r="Q363" s="2"/>
      <c r="R363" s="2"/>
      <c r="S363" s="2"/>
      <c r="T363" s="2"/>
      <c r="U363" s="2"/>
      <c r="V363" s="2"/>
      <c r="W363" s="2"/>
      <c r="X363" s="2"/>
      <c r="Y363" s="2"/>
      <c r="Z363" s="2"/>
    </row>
    <row r="364" ht="15.75" customHeight="1">
      <c r="A364" s="3" t="s">
        <v>1682</v>
      </c>
      <c r="B364" s="3" t="s">
        <v>1683</v>
      </c>
      <c r="C364" s="3" t="s">
        <v>1518</v>
      </c>
      <c r="D364" s="33" t="s">
        <v>795</v>
      </c>
      <c r="E364" s="3" t="s">
        <v>1126</v>
      </c>
      <c r="F364" s="9" t="s">
        <v>1636</v>
      </c>
      <c r="G364" s="2"/>
      <c r="H364" s="3" t="s">
        <v>1684</v>
      </c>
      <c r="I364" s="10">
        <v>4.132623767E9</v>
      </c>
      <c r="J364" s="9" t="s">
        <v>1685</v>
      </c>
      <c r="K364" s="2"/>
      <c r="L364" s="2"/>
      <c r="M364" s="2"/>
      <c r="N364" s="2"/>
      <c r="O364" s="2"/>
      <c r="P364" s="2"/>
      <c r="Q364" s="2"/>
      <c r="R364" s="2"/>
      <c r="S364" s="2"/>
      <c r="T364" s="2"/>
      <c r="U364" s="2"/>
      <c r="V364" s="2"/>
      <c r="W364" s="2"/>
      <c r="X364" s="2"/>
      <c r="Y364" s="2"/>
      <c r="Z364" s="2"/>
    </row>
    <row r="365" ht="15.75" customHeight="1">
      <c r="A365" s="3" t="s">
        <v>1686</v>
      </c>
      <c r="B365" s="3" t="s">
        <v>1687</v>
      </c>
      <c r="C365" s="3" t="s">
        <v>1518</v>
      </c>
      <c r="D365" s="33" t="s">
        <v>795</v>
      </c>
      <c r="E365" s="3" t="s">
        <v>1126</v>
      </c>
      <c r="F365" s="9" t="s">
        <v>1636</v>
      </c>
      <c r="G365" s="2"/>
      <c r="H365" s="3" t="s">
        <v>1684</v>
      </c>
      <c r="I365" s="10">
        <v>4.132623767E9</v>
      </c>
      <c r="J365" s="9" t="s">
        <v>1685</v>
      </c>
      <c r="K365" s="2"/>
      <c r="L365" s="2"/>
      <c r="M365" s="2"/>
      <c r="N365" s="2"/>
      <c r="O365" s="2"/>
      <c r="P365" s="2"/>
      <c r="Q365" s="2"/>
      <c r="R365" s="2"/>
      <c r="S365" s="2"/>
      <c r="T365" s="2"/>
      <c r="U365" s="2"/>
      <c r="V365" s="2"/>
      <c r="W365" s="2"/>
      <c r="X365" s="2"/>
      <c r="Y365" s="2"/>
      <c r="Z365" s="2"/>
    </row>
    <row r="366" ht="15.75" customHeight="1">
      <c r="A366" s="3" t="s">
        <v>1688</v>
      </c>
      <c r="B366" s="3" t="s">
        <v>1689</v>
      </c>
      <c r="C366" s="3" t="s">
        <v>1518</v>
      </c>
      <c r="D366" s="33" t="s">
        <v>795</v>
      </c>
      <c r="E366" s="3" t="s">
        <v>1126</v>
      </c>
      <c r="F366" s="9" t="s">
        <v>1636</v>
      </c>
      <c r="G366" s="2"/>
      <c r="H366" s="3" t="s">
        <v>1690</v>
      </c>
      <c r="I366" s="3" t="s">
        <v>1691</v>
      </c>
      <c r="J366" s="9" t="s">
        <v>1692</v>
      </c>
      <c r="K366" s="2"/>
      <c r="L366" s="2"/>
      <c r="M366" s="2"/>
      <c r="N366" s="2"/>
      <c r="O366" s="2"/>
      <c r="P366" s="2"/>
      <c r="Q366" s="2"/>
      <c r="R366" s="2"/>
      <c r="S366" s="2"/>
      <c r="T366" s="2"/>
      <c r="U366" s="2"/>
      <c r="V366" s="2"/>
      <c r="W366" s="2"/>
      <c r="X366" s="2"/>
      <c r="Y366" s="2"/>
      <c r="Z366" s="2"/>
    </row>
    <row r="367" ht="15.75" customHeight="1">
      <c r="A367" s="3" t="s">
        <v>1693</v>
      </c>
      <c r="B367" s="3" t="s">
        <v>1694</v>
      </c>
      <c r="C367" s="3" t="s">
        <v>1518</v>
      </c>
      <c r="D367" s="33" t="s">
        <v>795</v>
      </c>
      <c r="E367" s="3" t="s">
        <v>1126</v>
      </c>
      <c r="F367" s="9" t="s">
        <v>1636</v>
      </c>
      <c r="G367" s="2"/>
      <c r="H367" s="3" t="s">
        <v>1695</v>
      </c>
      <c r="I367" s="3" t="s">
        <v>1696</v>
      </c>
      <c r="J367" s="2"/>
      <c r="K367" s="2"/>
      <c r="L367" s="2"/>
      <c r="M367" s="2"/>
      <c r="N367" s="2"/>
      <c r="O367" s="2"/>
      <c r="P367" s="2"/>
      <c r="Q367" s="2"/>
      <c r="R367" s="2"/>
      <c r="S367" s="2"/>
      <c r="T367" s="2"/>
      <c r="U367" s="2"/>
      <c r="V367" s="2"/>
      <c r="W367" s="2"/>
      <c r="X367" s="2"/>
      <c r="Y367" s="2"/>
      <c r="Z367" s="2"/>
    </row>
    <row r="368" ht="15.75" customHeight="1">
      <c r="A368" s="3" t="s">
        <v>1697</v>
      </c>
      <c r="B368" s="3" t="s">
        <v>1694</v>
      </c>
      <c r="C368" s="3" t="s">
        <v>1518</v>
      </c>
      <c r="D368" s="33" t="s">
        <v>795</v>
      </c>
      <c r="E368" s="3" t="s">
        <v>1126</v>
      </c>
      <c r="F368" s="9" t="s">
        <v>1636</v>
      </c>
      <c r="G368" s="2"/>
      <c r="H368" s="3" t="s">
        <v>1698</v>
      </c>
      <c r="I368" s="3" t="s">
        <v>1699</v>
      </c>
      <c r="J368" s="2"/>
      <c r="K368" s="2"/>
      <c r="L368" s="2"/>
      <c r="M368" s="2"/>
      <c r="N368" s="2"/>
      <c r="O368" s="2"/>
      <c r="P368" s="2"/>
      <c r="Q368" s="2"/>
      <c r="R368" s="2"/>
      <c r="S368" s="2"/>
      <c r="T368" s="2"/>
      <c r="U368" s="2"/>
      <c r="V368" s="2"/>
      <c r="W368" s="2"/>
      <c r="X368" s="2"/>
      <c r="Y368" s="2"/>
      <c r="Z368" s="2"/>
    </row>
    <row r="369" ht="15.75" customHeight="1">
      <c r="A369" s="3" t="s">
        <v>1700</v>
      </c>
      <c r="B369" s="3" t="s">
        <v>1701</v>
      </c>
      <c r="C369" s="3" t="s">
        <v>1518</v>
      </c>
      <c r="D369" s="3" t="s">
        <v>1126</v>
      </c>
      <c r="E369" s="3" t="s">
        <v>1126</v>
      </c>
      <c r="F369" s="9" t="s">
        <v>1636</v>
      </c>
      <c r="G369" s="2"/>
      <c r="H369" s="3" t="s">
        <v>1702</v>
      </c>
      <c r="I369" s="2"/>
      <c r="J369" s="9" t="s">
        <v>1703</v>
      </c>
      <c r="K369" s="2"/>
      <c r="L369" s="9" t="s">
        <v>1704</v>
      </c>
      <c r="M369" s="2"/>
      <c r="N369" s="2"/>
      <c r="O369" s="2"/>
      <c r="P369" s="2"/>
      <c r="Q369" s="2"/>
      <c r="R369" s="2"/>
      <c r="S369" s="2"/>
      <c r="T369" s="2"/>
      <c r="U369" s="2"/>
      <c r="V369" s="2"/>
      <c r="W369" s="2"/>
      <c r="X369" s="2"/>
      <c r="Y369" s="2"/>
      <c r="Z369" s="2"/>
    </row>
    <row r="370" ht="15.75" customHeight="1">
      <c r="A370" s="3" t="s">
        <v>1528</v>
      </c>
      <c r="B370" s="3" t="s">
        <v>1195</v>
      </c>
      <c r="C370" s="3" t="s">
        <v>1518</v>
      </c>
      <c r="D370" s="3" t="s">
        <v>1126</v>
      </c>
      <c r="E370" s="3" t="s">
        <v>1126</v>
      </c>
      <c r="F370" s="3" t="s">
        <v>1190</v>
      </c>
      <c r="G370" s="3" t="s">
        <v>1529</v>
      </c>
      <c r="H370" s="3" t="s">
        <v>1191</v>
      </c>
      <c r="I370" s="3" t="s">
        <v>1192</v>
      </c>
      <c r="J370" s="9" t="s">
        <v>1193</v>
      </c>
      <c r="K370" s="2"/>
      <c r="L370" s="2"/>
      <c r="M370" s="2"/>
      <c r="N370" s="2"/>
      <c r="O370" s="2"/>
      <c r="P370" s="2"/>
      <c r="Q370" s="2"/>
      <c r="R370" s="2"/>
      <c r="S370" s="2"/>
      <c r="T370" s="2"/>
      <c r="U370" s="2"/>
      <c r="V370" s="2"/>
      <c r="W370" s="2"/>
      <c r="X370" s="2"/>
      <c r="Y370" s="2"/>
      <c r="Z370" s="2"/>
    </row>
    <row r="371" ht="15.75" customHeight="1">
      <c r="A371" s="3" t="s">
        <v>1705</v>
      </c>
      <c r="B371" s="3" t="s">
        <v>1706</v>
      </c>
      <c r="C371" s="3" t="s">
        <v>1674</v>
      </c>
      <c r="D371" s="3" t="s">
        <v>1126</v>
      </c>
      <c r="E371" s="3" t="s">
        <v>1126</v>
      </c>
      <c r="F371" s="3" t="s">
        <v>1007</v>
      </c>
      <c r="G371" s="3" t="s">
        <v>1707</v>
      </c>
      <c r="H371" s="3" t="s">
        <v>1035</v>
      </c>
      <c r="I371" s="3" t="s">
        <v>1010</v>
      </c>
      <c r="J371" s="9" t="s">
        <v>1011</v>
      </c>
      <c r="K371" s="2"/>
      <c r="L371" s="2"/>
      <c r="M371" s="2"/>
      <c r="N371" s="2"/>
      <c r="O371" s="2"/>
      <c r="P371" s="2"/>
      <c r="Q371" s="2"/>
      <c r="R371" s="2"/>
      <c r="S371" s="2"/>
      <c r="T371" s="2"/>
      <c r="U371" s="2"/>
      <c r="V371" s="2"/>
      <c r="W371" s="2"/>
      <c r="X371" s="2"/>
      <c r="Y371" s="2"/>
      <c r="Z371" s="2"/>
    </row>
    <row r="372" ht="15.75" customHeight="1">
      <c r="A372" s="3" t="s">
        <v>1708</v>
      </c>
      <c r="B372" s="3" t="s">
        <v>363</v>
      </c>
      <c r="C372" s="3" t="s">
        <v>1674</v>
      </c>
      <c r="D372" s="3" t="s">
        <v>1126</v>
      </c>
      <c r="E372" s="3" t="s">
        <v>1126</v>
      </c>
      <c r="F372" s="3" t="s">
        <v>1007</v>
      </c>
      <c r="G372" s="3" t="s">
        <v>1709</v>
      </c>
      <c r="H372" s="3" t="s">
        <v>1710</v>
      </c>
      <c r="I372" s="3" t="s">
        <v>1010</v>
      </c>
      <c r="J372" s="9" t="s">
        <v>1011</v>
      </c>
      <c r="K372" s="2"/>
      <c r="L372" s="2"/>
      <c r="M372" s="2"/>
      <c r="N372" s="2"/>
      <c r="O372" s="2"/>
      <c r="P372" s="2"/>
      <c r="Q372" s="2"/>
      <c r="R372" s="2"/>
      <c r="S372" s="2"/>
      <c r="T372" s="2"/>
      <c r="U372" s="2"/>
      <c r="V372" s="2"/>
      <c r="W372" s="2"/>
      <c r="X372" s="2"/>
      <c r="Y372" s="2"/>
      <c r="Z372" s="2"/>
    </row>
    <row r="373" ht="15.75" customHeight="1">
      <c r="A373" s="3" t="s">
        <v>1711</v>
      </c>
      <c r="B373" s="3" t="s">
        <v>1694</v>
      </c>
      <c r="C373" s="3" t="s">
        <v>1674</v>
      </c>
      <c r="D373" s="3" t="s">
        <v>1126</v>
      </c>
      <c r="E373" s="3" t="s">
        <v>1126</v>
      </c>
      <c r="F373" s="3" t="s">
        <v>1007</v>
      </c>
      <c r="G373" s="3" t="s">
        <v>1712</v>
      </c>
      <c r="H373" s="3" t="s">
        <v>1710</v>
      </c>
      <c r="I373" s="3" t="s">
        <v>1010</v>
      </c>
      <c r="J373" s="9" t="s">
        <v>1011</v>
      </c>
      <c r="K373" s="2"/>
      <c r="L373" s="2"/>
      <c r="M373" s="2"/>
      <c r="N373" s="2"/>
      <c r="O373" s="2"/>
      <c r="P373" s="2"/>
      <c r="Q373" s="2"/>
      <c r="R373" s="2"/>
      <c r="S373" s="2"/>
      <c r="T373" s="2"/>
      <c r="U373" s="2"/>
      <c r="V373" s="2"/>
      <c r="W373" s="2"/>
      <c r="X373" s="2"/>
      <c r="Y373" s="2"/>
      <c r="Z373" s="2"/>
    </row>
    <row r="374" ht="15.75" customHeight="1">
      <c r="A374" s="3" t="s">
        <v>1713</v>
      </c>
      <c r="B374" s="3" t="s">
        <v>363</v>
      </c>
      <c r="C374" s="3" t="s">
        <v>1674</v>
      </c>
      <c r="D374" s="3" t="s">
        <v>1126</v>
      </c>
      <c r="E374" s="3" t="s">
        <v>1126</v>
      </c>
      <c r="F374" s="3" t="s">
        <v>1007</v>
      </c>
      <c r="G374" s="3" t="s">
        <v>1714</v>
      </c>
      <c r="H374" s="3" t="s">
        <v>1710</v>
      </c>
      <c r="I374" s="3" t="s">
        <v>1010</v>
      </c>
      <c r="J374" s="9" t="s">
        <v>1011</v>
      </c>
      <c r="K374" s="2"/>
      <c r="L374" s="2"/>
      <c r="M374" s="2"/>
      <c r="N374" s="2"/>
      <c r="O374" s="2"/>
      <c r="P374" s="2"/>
      <c r="Q374" s="2"/>
      <c r="R374" s="2"/>
      <c r="S374" s="2"/>
      <c r="T374" s="2"/>
      <c r="U374" s="2"/>
      <c r="V374" s="2"/>
      <c r="W374" s="2"/>
      <c r="X374" s="2"/>
      <c r="Y374" s="2"/>
      <c r="Z374" s="2"/>
    </row>
    <row r="375" ht="15.75" customHeight="1">
      <c r="A375" s="3" t="s">
        <v>1715</v>
      </c>
      <c r="B375" s="3" t="s">
        <v>1694</v>
      </c>
      <c r="C375" s="3" t="s">
        <v>1674</v>
      </c>
      <c r="D375" s="3" t="s">
        <v>1126</v>
      </c>
      <c r="E375" s="3" t="s">
        <v>1126</v>
      </c>
      <c r="F375" s="3" t="s">
        <v>1007</v>
      </c>
      <c r="G375" s="3" t="s">
        <v>1716</v>
      </c>
      <c r="H375" s="3" t="s">
        <v>134</v>
      </c>
      <c r="I375" s="3" t="s">
        <v>1010</v>
      </c>
      <c r="J375" s="9" t="s">
        <v>1011</v>
      </c>
      <c r="K375" s="2"/>
      <c r="L375" s="2"/>
      <c r="M375" s="2"/>
      <c r="N375" s="2"/>
      <c r="O375" s="2"/>
      <c r="P375" s="2"/>
      <c r="Q375" s="2"/>
      <c r="R375" s="2"/>
      <c r="S375" s="2"/>
      <c r="T375" s="2"/>
      <c r="U375" s="2"/>
      <c r="V375" s="2"/>
      <c r="W375" s="2"/>
      <c r="X375" s="2"/>
      <c r="Y375" s="2"/>
      <c r="Z375" s="2"/>
    </row>
    <row r="376" ht="15.75" customHeight="1">
      <c r="A376" s="3" t="s">
        <v>1717</v>
      </c>
      <c r="B376" s="3" t="s">
        <v>951</v>
      </c>
      <c r="C376" s="3" t="s">
        <v>1674</v>
      </c>
      <c r="D376" s="3" t="s">
        <v>1126</v>
      </c>
      <c r="E376" s="3" t="s">
        <v>1126</v>
      </c>
      <c r="F376" s="3" t="s">
        <v>1007</v>
      </c>
      <c r="G376" s="3" t="s">
        <v>1718</v>
      </c>
      <c r="H376" s="3" t="s">
        <v>1009</v>
      </c>
      <c r="I376" s="3" t="s">
        <v>1010</v>
      </c>
      <c r="J376" s="9" t="s">
        <v>1011</v>
      </c>
      <c r="K376" s="2"/>
      <c r="L376" s="2"/>
      <c r="M376" s="2"/>
      <c r="N376" s="2"/>
      <c r="O376" s="2"/>
      <c r="P376" s="2"/>
      <c r="Q376" s="2"/>
      <c r="R376" s="2"/>
      <c r="S376" s="2"/>
      <c r="T376" s="2"/>
      <c r="U376" s="2"/>
      <c r="V376" s="2"/>
      <c r="W376" s="2"/>
      <c r="X376" s="2"/>
      <c r="Y376" s="2"/>
      <c r="Z376" s="2"/>
    </row>
    <row r="377" ht="15.75" customHeight="1">
      <c r="A377" s="3" t="s">
        <v>1719</v>
      </c>
      <c r="B377" s="3" t="s">
        <v>1694</v>
      </c>
      <c r="C377" s="3" t="s">
        <v>1674</v>
      </c>
      <c r="D377" s="3" t="s">
        <v>1126</v>
      </c>
      <c r="E377" s="3" t="s">
        <v>1126</v>
      </c>
      <c r="F377" s="3" t="s">
        <v>1007</v>
      </c>
      <c r="G377" s="3" t="s">
        <v>1720</v>
      </c>
      <c r="H377" s="3" t="s">
        <v>1009</v>
      </c>
      <c r="I377" s="3" t="s">
        <v>1010</v>
      </c>
      <c r="J377" s="9" t="s">
        <v>1011</v>
      </c>
      <c r="K377" s="2"/>
      <c r="L377" s="9" t="s">
        <v>1721</v>
      </c>
      <c r="M377" s="2"/>
      <c r="N377" s="2"/>
      <c r="O377" s="2"/>
      <c r="P377" s="2"/>
      <c r="Q377" s="2"/>
      <c r="R377" s="2"/>
      <c r="S377" s="2"/>
      <c r="T377" s="2"/>
      <c r="U377" s="2"/>
      <c r="V377" s="2"/>
      <c r="W377" s="2"/>
      <c r="X377" s="2"/>
      <c r="Y377" s="2"/>
      <c r="Z377" s="2"/>
    </row>
    <row r="378" ht="15.75" customHeight="1">
      <c r="A378" s="3" t="s">
        <v>1722</v>
      </c>
      <c r="B378" s="3" t="s">
        <v>363</v>
      </c>
      <c r="C378" s="3" t="s">
        <v>1674</v>
      </c>
      <c r="D378" s="3" t="s">
        <v>1126</v>
      </c>
      <c r="E378" s="3" t="s">
        <v>1126</v>
      </c>
      <c r="F378" s="3" t="s">
        <v>1007</v>
      </c>
      <c r="G378" s="3" t="s">
        <v>1723</v>
      </c>
      <c r="H378" s="3" t="s">
        <v>1384</v>
      </c>
      <c r="I378" s="3" t="s">
        <v>1010</v>
      </c>
      <c r="J378" s="9" t="s">
        <v>1011</v>
      </c>
      <c r="K378" s="2"/>
      <c r="L378" s="2"/>
      <c r="M378" s="2"/>
      <c r="N378" s="2"/>
      <c r="O378" s="2"/>
      <c r="P378" s="2"/>
      <c r="Q378" s="2"/>
      <c r="R378" s="2"/>
      <c r="S378" s="2"/>
      <c r="T378" s="2"/>
      <c r="U378" s="2"/>
      <c r="V378" s="2"/>
      <c r="W378" s="2"/>
      <c r="X378" s="2"/>
      <c r="Y378" s="2"/>
      <c r="Z378" s="2"/>
    </row>
    <row r="379" ht="15.75" customHeight="1">
      <c r="A379" s="3" t="s">
        <v>1724</v>
      </c>
      <c r="B379" s="3" t="s">
        <v>1458</v>
      </c>
      <c r="C379" s="3" t="s">
        <v>1674</v>
      </c>
      <c r="D379" s="3" t="s">
        <v>1126</v>
      </c>
      <c r="E379" s="3" t="s">
        <v>1126</v>
      </c>
      <c r="F379" s="3" t="s">
        <v>1007</v>
      </c>
      <c r="G379" s="3" t="s">
        <v>1725</v>
      </c>
      <c r="H379" s="3" t="s">
        <v>1726</v>
      </c>
      <c r="I379" s="3" t="s">
        <v>1010</v>
      </c>
      <c r="J379" s="9" t="s">
        <v>1011</v>
      </c>
      <c r="K379" s="2"/>
      <c r="L379" s="9" t="s">
        <v>1727</v>
      </c>
      <c r="M379" s="2"/>
      <c r="N379" s="2"/>
      <c r="O379" s="2"/>
      <c r="P379" s="2"/>
      <c r="Q379" s="2"/>
      <c r="R379" s="2"/>
      <c r="S379" s="2"/>
      <c r="T379" s="2"/>
      <c r="U379" s="2"/>
      <c r="V379" s="2"/>
      <c r="W379" s="2"/>
      <c r="X379" s="2"/>
      <c r="Y379" s="2"/>
      <c r="Z379" s="2"/>
    </row>
    <row r="380" ht="15.75" customHeight="1">
      <c r="A380" s="3" t="s">
        <v>1728</v>
      </c>
      <c r="B380" s="3" t="s">
        <v>363</v>
      </c>
      <c r="C380" s="3" t="s">
        <v>1674</v>
      </c>
      <c r="D380" s="3" t="s">
        <v>1126</v>
      </c>
      <c r="E380" s="3" t="s">
        <v>1126</v>
      </c>
      <c r="F380" s="3" t="s">
        <v>1007</v>
      </c>
      <c r="G380" s="3" t="s">
        <v>1729</v>
      </c>
      <c r="H380" s="3" t="s">
        <v>1726</v>
      </c>
      <c r="I380" s="3" t="s">
        <v>1010</v>
      </c>
      <c r="J380" s="9" t="s">
        <v>1011</v>
      </c>
      <c r="K380" s="2"/>
      <c r="L380" s="2"/>
      <c r="M380" s="2"/>
      <c r="N380" s="2"/>
      <c r="O380" s="2"/>
      <c r="P380" s="2"/>
      <c r="Q380" s="2"/>
      <c r="R380" s="2"/>
      <c r="S380" s="2"/>
      <c r="T380" s="2"/>
      <c r="U380" s="2"/>
      <c r="V380" s="2"/>
      <c r="W380" s="2"/>
      <c r="X380" s="2"/>
      <c r="Y380" s="2"/>
      <c r="Z380" s="2"/>
    </row>
    <row r="381" ht="15.75" customHeight="1">
      <c r="A381" s="3" t="s">
        <v>1730</v>
      </c>
      <c r="B381" s="3" t="s">
        <v>1694</v>
      </c>
      <c r="C381" s="3" t="s">
        <v>1674</v>
      </c>
      <c r="D381" s="3" t="s">
        <v>1126</v>
      </c>
      <c r="E381" s="3" t="s">
        <v>1126</v>
      </c>
      <c r="F381" s="3" t="s">
        <v>1007</v>
      </c>
      <c r="G381" s="3" t="s">
        <v>1731</v>
      </c>
      <c r="H381" s="3" t="s">
        <v>1726</v>
      </c>
      <c r="I381" s="3" t="s">
        <v>1010</v>
      </c>
      <c r="J381" s="9" t="s">
        <v>1011</v>
      </c>
      <c r="K381" s="2"/>
      <c r="L381" s="2"/>
      <c r="M381" s="2"/>
      <c r="N381" s="2"/>
      <c r="O381" s="2"/>
      <c r="P381" s="2"/>
      <c r="Q381" s="2"/>
      <c r="R381" s="2"/>
      <c r="S381" s="2"/>
      <c r="T381" s="2"/>
      <c r="U381" s="2"/>
      <c r="V381" s="2"/>
      <c r="W381" s="2"/>
      <c r="X381" s="2"/>
      <c r="Y381" s="2"/>
      <c r="Z381" s="2"/>
    </row>
    <row r="382" ht="15.75" customHeight="1">
      <c r="A382" s="3" t="s">
        <v>1732</v>
      </c>
      <c r="B382" s="3" t="s">
        <v>1694</v>
      </c>
      <c r="C382" s="3" t="s">
        <v>1674</v>
      </c>
      <c r="D382" s="3" t="s">
        <v>1126</v>
      </c>
      <c r="E382" s="3" t="s">
        <v>1126</v>
      </c>
      <c r="F382" s="3" t="s">
        <v>1007</v>
      </c>
      <c r="G382" s="3" t="s">
        <v>1733</v>
      </c>
      <c r="H382" s="3" t="s">
        <v>1734</v>
      </c>
      <c r="I382" s="3" t="s">
        <v>1010</v>
      </c>
      <c r="J382" s="9" t="s">
        <v>1011</v>
      </c>
      <c r="K382" s="2"/>
      <c r="L382" s="2"/>
      <c r="M382" s="2"/>
      <c r="N382" s="2"/>
      <c r="O382" s="2"/>
      <c r="P382" s="2"/>
      <c r="Q382" s="2"/>
      <c r="R382" s="2"/>
      <c r="S382" s="2"/>
      <c r="T382" s="2"/>
      <c r="U382" s="2"/>
      <c r="V382" s="2"/>
      <c r="W382" s="2"/>
      <c r="X382" s="2"/>
      <c r="Y382" s="2"/>
      <c r="Z382" s="2"/>
    </row>
    <row r="383" ht="15.75" customHeight="1">
      <c r="A383" s="3" t="s">
        <v>1735</v>
      </c>
      <c r="B383" s="3" t="s">
        <v>1736</v>
      </c>
      <c r="C383" s="3" t="s">
        <v>1674</v>
      </c>
      <c r="D383" s="3" t="s">
        <v>1126</v>
      </c>
      <c r="E383" s="3" t="s">
        <v>1126</v>
      </c>
      <c r="F383" s="3" t="s">
        <v>1007</v>
      </c>
      <c r="G383" s="3" t="s">
        <v>1737</v>
      </c>
      <c r="H383" s="3" t="s">
        <v>1022</v>
      </c>
      <c r="I383" s="3" t="s">
        <v>1010</v>
      </c>
      <c r="J383" s="9" t="s">
        <v>1011</v>
      </c>
      <c r="K383" s="2"/>
      <c r="L383" s="2"/>
      <c r="M383" s="2"/>
      <c r="N383" s="2"/>
      <c r="O383" s="2"/>
      <c r="P383" s="2"/>
      <c r="Q383" s="2"/>
      <c r="R383" s="2"/>
      <c r="S383" s="2"/>
      <c r="T383" s="2"/>
      <c r="U383" s="2"/>
      <c r="V383" s="2"/>
      <c r="W383" s="2"/>
      <c r="X383" s="2"/>
      <c r="Y383" s="2"/>
      <c r="Z383" s="2"/>
    </row>
    <row r="384" ht="15.75" customHeight="1">
      <c r="A384" s="3" t="s">
        <v>1738</v>
      </c>
      <c r="B384" s="3" t="s">
        <v>363</v>
      </c>
      <c r="C384" s="3" t="s">
        <v>1674</v>
      </c>
      <c r="D384" s="3" t="s">
        <v>1126</v>
      </c>
      <c r="E384" s="3" t="s">
        <v>1126</v>
      </c>
      <c r="F384" s="3" t="s">
        <v>1007</v>
      </c>
      <c r="G384" s="2"/>
      <c r="H384" s="3" t="s">
        <v>1739</v>
      </c>
      <c r="I384" s="3" t="s">
        <v>1010</v>
      </c>
      <c r="J384" s="9" t="s">
        <v>1011</v>
      </c>
      <c r="K384" s="2"/>
      <c r="L384" s="2"/>
      <c r="M384" s="2"/>
      <c r="N384" s="2"/>
      <c r="O384" s="2"/>
      <c r="P384" s="2"/>
      <c r="Q384" s="2"/>
      <c r="R384" s="2"/>
      <c r="S384" s="2"/>
      <c r="T384" s="2"/>
      <c r="U384" s="2"/>
      <c r="V384" s="2"/>
      <c r="W384" s="2"/>
      <c r="X384" s="2"/>
      <c r="Y384" s="2"/>
      <c r="Z384" s="2"/>
    </row>
    <row r="385" ht="15.75" customHeight="1">
      <c r="A385" s="3" t="s">
        <v>1740</v>
      </c>
      <c r="B385" s="3" t="s">
        <v>1736</v>
      </c>
      <c r="C385" s="3" t="s">
        <v>1674</v>
      </c>
      <c r="D385" s="3" t="s">
        <v>1126</v>
      </c>
      <c r="E385" s="3" t="s">
        <v>1126</v>
      </c>
      <c r="F385" s="3" t="s">
        <v>1007</v>
      </c>
      <c r="G385" s="3" t="s">
        <v>1741</v>
      </c>
      <c r="H385" s="3" t="s">
        <v>1742</v>
      </c>
      <c r="I385" s="3" t="s">
        <v>1010</v>
      </c>
      <c r="J385" s="9" t="s">
        <v>1011</v>
      </c>
      <c r="K385" s="2"/>
      <c r="L385" s="2"/>
      <c r="M385" s="2"/>
      <c r="N385" s="2"/>
      <c r="O385" s="2"/>
      <c r="P385" s="2"/>
      <c r="Q385" s="2"/>
      <c r="R385" s="2"/>
      <c r="S385" s="2"/>
      <c r="T385" s="2"/>
      <c r="U385" s="2"/>
      <c r="V385" s="2"/>
      <c r="W385" s="2"/>
      <c r="X385" s="2"/>
      <c r="Y385" s="2"/>
      <c r="Z385" s="2"/>
    </row>
    <row r="386" ht="15.75" customHeight="1">
      <c r="A386" s="3" t="s">
        <v>1743</v>
      </c>
      <c r="B386" s="3" t="s">
        <v>363</v>
      </c>
      <c r="C386" s="3" t="s">
        <v>1674</v>
      </c>
      <c r="D386" s="3" t="s">
        <v>1126</v>
      </c>
      <c r="E386" s="3" t="s">
        <v>1126</v>
      </c>
      <c r="F386" s="3" t="s">
        <v>1007</v>
      </c>
      <c r="G386" s="3" t="s">
        <v>1744</v>
      </c>
      <c r="H386" s="3" t="s">
        <v>1742</v>
      </c>
      <c r="I386" s="3" t="s">
        <v>1010</v>
      </c>
      <c r="J386" s="9" t="s">
        <v>1011</v>
      </c>
      <c r="K386" s="2"/>
      <c r="L386" s="2"/>
      <c r="M386" s="2"/>
      <c r="N386" s="2"/>
      <c r="O386" s="2"/>
      <c r="P386" s="2"/>
      <c r="Q386" s="2"/>
      <c r="R386" s="2"/>
      <c r="S386" s="2"/>
      <c r="T386" s="2"/>
      <c r="U386" s="2"/>
      <c r="V386" s="2"/>
      <c r="W386" s="2"/>
      <c r="X386" s="2"/>
      <c r="Y386" s="2"/>
      <c r="Z386" s="2"/>
    </row>
    <row r="387" ht="15.75" customHeight="1">
      <c r="A387" s="3" t="s">
        <v>1745</v>
      </c>
      <c r="B387" s="3" t="s">
        <v>1694</v>
      </c>
      <c r="C387" s="3" t="s">
        <v>1674</v>
      </c>
      <c r="D387" s="3" t="s">
        <v>1126</v>
      </c>
      <c r="E387" s="3" t="s">
        <v>1126</v>
      </c>
      <c r="F387" s="3" t="s">
        <v>1007</v>
      </c>
      <c r="G387" s="3" t="s">
        <v>1746</v>
      </c>
      <c r="H387" s="3" t="s">
        <v>1742</v>
      </c>
      <c r="I387" s="3" t="s">
        <v>1010</v>
      </c>
      <c r="J387" s="9" t="s">
        <v>1011</v>
      </c>
      <c r="K387" s="2"/>
      <c r="L387" s="2"/>
      <c r="M387" s="2"/>
      <c r="N387" s="2"/>
      <c r="O387" s="2"/>
      <c r="P387" s="2"/>
      <c r="Q387" s="2"/>
      <c r="R387" s="2"/>
      <c r="S387" s="2"/>
      <c r="T387" s="2"/>
      <c r="U387" s="2"/>
      <c r="V387" s="2"/>
      <c r="W387" s="2"/>
      <c r="X387" s="2"/>
      <c r="Y387" s="2"/>
      <c r="Z387" s="2"/>
    </row>
    <row r="388" ht="15.75" customHeight="1">
      <c r="A388" s="3" t="s">
        <v>1747</v>
      </c>
      <c r="B388" s="3" t="s">
        <v>1748</v>
      </c>
      <c r="C388" s="3" t="s">
        <v>1674</v>
      </c>
      <c r="D388" s="3" t="s">
        <v>1126</v>
      </c>
      <c r="E388" s="3" t="s">
        <v>1126</v>
      </c>
      <c r="F388" s="3" t="s">
        <v>1007</v>
      </c>
      <c r="G388" s="3" t="s">
        <v>1749</v>
      </c>
      <c r="H388" s="3" t="s">
        <v>985</v>
      </c>
      <c r="I388" s="3" t="s">
        <v>1010</v>
      </c>
      <c r="J388" s="9" t="s">
        <v>1011</v>
      </c>
      <c r="K388" s="2"/>
      <c r="L388" s="2"/>
      <c r="M388" s="2"/>
      <c r="N388" s="2"/>
      <c r="O388" s="2"/>
      <c r="P388" s="2"/>
      <c r="Q388" s="2"/>
      <c r="R388" s="2"/>
      <c r="S388" s="2"/>
      <c r="T388" s="2"/>
      <c r="U388" s="2"/>
      <c r="V388" s="2"/>
      <c r="W388" s="2"/>
      <c r="X388" s="2"/>
      <c r="Y388" s="2"/>
      <c r="Z388" s="2"/>
    </row>
    <row r="389" ht="15.75" customHeight="1">
      <c r="A389" s="3" t="s">
        <v>1750</v>
      </c>
      <c r="B389" s="3" t="s">
        <v>363</v>
      </c>
      <c r="C389" s="3" t="s">
        <v>1674</v>
      </c>
      <c r="D389" s="3" t="s">
        <v>1126</v>
      </c>
      <c r="E389" s="3" t="s">
        <v>1126</v>
      </c>
      <c r="F389" s="3" t="s">
        <v>1007</v>
      </c>
      <c r="G389" s="3" t="s">
        <v>1751</v>
      </c>
      <c r="H389" s="3" t="s">
        <v>960</v>
      </c>
      <c r="I389" s="3" t="s">
        <v>1010</v>
      </c>
      <c r="J389" s="9" t="s">
        <v>1011</v>
      </c>
      <c r="K389" s="2"/>
      <c r="L389" s="2"/>
      <c r="M389" s="2"/>
      <c r="N389" s="2"/>
      <c r="O389" s="2"/>
      <c r="P389" s="2"/>
      <c r="Q389" s="2"/>
      <c r="R389" s="2"/>
      <c r="S389" s="2"/>
      <c r="T389" s="2"/>
      <c r="U389" s="2"/>
      <c r="V389" s="2"/>
      <c r="W389" s="2"/>
      <c r="X389" s="2"/>
      <c r="Y389" s="2"/>
      <c r="Z389" s="2"/>
    </row>
    <row r="390" ht="15.75" customHeight="1">
      <c r="A390" s="3" t="s">
        <v>1752</v>
      </c>
      <c r="B390" s="3" t="s">
        <v>1694</v>
      </c>
      <c r="C390" s="3" t="s">
        <v>1674</v>
      </c>
      <c r="D390" s="3" t="s">
        <v>1126</v>
      </c>
      <c r="E390" s="3" t="s">
        <v>1126</v>
      </c>
      <c r="F390" s="3" t="s">
        <v>1007</v>
      </c>
      <c r="G390" s="3" t="s">
        <v>1753</v>
      </c>
      <c r="H390" s="3" t="s">
        <v>960</v>
      </c>
      <c r="I390" s="3" t="s">
        <v>1010</v>
      </c>
      <c r="J390" s="9" t="s">
        <v>1011</v>
      </c>
      <c r="K390" s="2"/>
      <c r="L390" s="2"/>
      <c r="M390" s="2"/>
      <c r="N390" s="2"/>
      <c r="O390" s="2"/>
      <c r="P390" s="2"/>
      <c r="Q390" s="2"/>
      <c r="R390" s="2"/>
      <c r="S390" s="2"/>
      <c r="T390" s="2"/>
      <c r="U390" s="2"/>
      <c r="V390" s="2"/>
      <c r="W390" s="2"/>
      <c r="X390" s="2"/>
      <c r="Y390" s="2"/>
      <c r="Z390" s="2"/>
    </row>
    <row r="391" ht="15.75" customHeight="1">
      <c r="A391" s="3" t="s">
        <v>1754</v>
      </c>
      <c r="B391" s="3" t="s">
        <v>1755</v>
      </c>
      <c r="C391" s="3" t="s">
        <v>1674</v>
      </c>
      <c r="D391" s="3" t="s">
        <v>1126</v>
      </c>
      <c r="E391" s="3" t="s">
        <v>1126</v>
      </c>
      <c r="F391" s="3" t="s">
        <v>1007</v>
      </c>
      <c r="G391" s="3" t="s">
        <v>1756</v>
      </c>
      <c r="H391" s="3" t="s">
        <v>960</v>
      </c>
      <c r="I391" s="3" t="s">
        <v>1010</v>
      </c>
      <c r="J391" s="9" t="s">
        <v>1011</v>
      </c>
      <c r="K391" s="2"/>
      <c r="L391" s="2"/>
      <c r="M391" s="2"/>
      <c r="N391" s="2"/>
      <c r="O391" s="2"/>
      <c r="P391" s="2"/>
      <c r="Q391" s="2"/>
      <c r="R391" s="2"/>
      <c r="S391" s="2"/>
      <c r="T391" s="2"/>
      <c r="U391" s="2"/>
      <c r="V391" s="2"/>
      <c r="W391" s="2"/>
      <c r="X391" s="2"/>
      <c r="Y391" s="2"/>
      <c r="Z391" s="2"/>
    </row>
    <row r="392" ht="15.75" customHeight="1">
      <c r="A392" s="3" t="s">
        <v>1757</v>
      </c>
      <c r="B392" s="3" t="s">
        <v>363</v>
      </c>
      <c r="C392" s="3" t="s">
        <v>1674</v>
      </c>
      <c r="D392" s="3" t="s">
        <v>1126</v>
      </c>
      <c r="E392" s="3" t="s">
        <v>1126</v>
      </c>
      <c r="F392" s="3" t="s">
        <v>1007</v>
      </c>
      <c r="G392" s="3" t="s">
        <v>1758</v>
      </c>
      <c r="H392" s="3" t="s">
        <v>960</v>
      </c>
      <c r="I392" s="3" t="s">
        <v>1010</v>
      </c>
      <c r="J392" s="9" t="s">
        <v>1011</v>
      </c>
      <c r="K392" s="2"/>
      <c r="L392" s="9" t="s">
        <v>1759</v>
      </c>
      <c r="M392" s="2"/>
      <c r="N392" s="2"/>
      <c r="O392" s="2"/>
      <c r="P392" s="2"/>
      <c r="Q392" s="2"/>
      <c r="R392" s="2"/>
      <c r="S392" s="2"/>
      <c r="T392" s="2"/>
      <c r="U392" s="2"/>
      <c r="V392" s="2"/>
      <c r="W392" s="2"/>
      <c r="X392" s="2"/>
      <c r="Y392" s="2"/>
      <c r="Z392" s="2"/>
    </row>
    <row r="393" ht="15.75" customHeight="1">
      <c r="A393" s="3" t="s">
        <v>1760</v>
      </c>
      <c r="B393" s="3" t="s">
        <v>1084</v>
      </c>
      <c r="C393" s="3" t="s">
        <v>1518</v>
      </c>
      <c r="D393" s="3" t="s">
        <v>1126</v>
      </c>
      <c r="E393" s="3" t="s">
        <v>1126</v>
      </c>
      <c r="F393" s="9" t="s">
        <v>204</v>
      </c>
      <c r="G393" s="2"/>
      <c r="H393" s="2"/>
      <c r="I393" s="3" t="s">
        <v>1070</v>
      </c>
      <c r="J393" s="9" t="s">
        <v>1071</v>
      </c>
      <c r="K393" s="2"/>
      <c r="L393" s="2"/>
      <c r="M393" s="2"/>
      <c r="N393" s="2"/>
      <c r="O393" s="2"/>
      <c r="P393" s="2"/>
      <c r="Q393" s="2"/>
      <c r="R393" s="2"/>
      <c r="S393" s="2"/>
      <c r="T393" s="2"/>
      <c r="U393" s="2"/>
      <c r="V393" s="2"/>
      <c r="W393" s="2"/>
      <c r="X393" s="2"/>
      <c r="Y393" s="2"/>
      <c r="Z393" s="2"/>
    </row>
    <row r="394" ht="15.75" customHeight="1">
      <c r="A394" s="3" t="s">
        <v>1528</v>
      </c>
      <c r="B394" s="3" t="s">
        <v>1195</v>
      </c>
      <c r="C394" s="3" t="s">
        <v>1518</v>
      </c>
      <c r="D394" s="3" t="s">
        <v>1126</v>
      </c>
      <c r="E394" s="3" t="s">
        <v>1126</v>
      </c>
      <c r="F394" s="3" t="s">
        <v>1190</v>
      </c>
      <c r="G394" s="3" t="s">
        <v>1529</v>
      </c>
      <c r="H394" s="3" t="s">
        <v>1191</v>
      </c>
      <c r="I394" s="3" t="s">
        <v>1192</v>
      </c>
      <c r="J394" s="9" t="s">
        <v>1193</v>
      </c>
      <c r="K394" s="2"/>
      <c r="L394" s="2"/>
      <c r="M394" s="2"/>
      <c r="N394" s="2"/>
      <c r="O394" s="2"/>
      <c r="P394" s="2"/>
      <c r="Q394" s="2"/>
      <c r="R394" s="2"/>
      <c r="S394" s="2"/>
      <c r="T394" s="2"/>
      <c r="U394" s="2"/>
      <c r="V394" s="2"/>
      <c r="W394" s="2"/>
      <c r="X394" s="2"/>
      <c r="Y394" s="2"/>
      <c r="Z394" s="2"/>
    </row>
    <row r="395" ht="15.75" customHeight="1">
      <c r="A395" s="3" t="s">
        <v>1761</v>
      </c>
      <c r="B395" s="3" t="s">
        <v>363</v>
      </c>
      <c r="C395" s="3" t="s">
        <v>1518</v>
      </c>
      <c r="D395" s="3" t="s">
        <v>1126</v>
      </c>
      <c r="E395" s="3" t="s">
        <v>1126</v>
      </c>
      <c r="F395" s="9" t="s">
        <v>1762</v>
      </c>
      <c r="G395" s="2"/>
      <c r="H395" s="3" t="s">
        <v>1763</v>
      </c>
      <c r="I395" s="2"/>
      <c r="J395" s="2"/>
      <c r="K395" s="2"/>
      <c r="L395" s="2"/>
      <c r="M395" s="2"/>
      <c r="N395" s="2"/>
      <c r="O395" s="2"/>
      <c r="P395" s="2"/>
      <c r="Q395" s="2"/>
      <c r="R395" s="2"/>
      <c r="S395" s="2"/>
      <c r="T395" s="2"/>
      <c r="U395" s="2"/>
      <c r="V395" s="2"/>
      <c r="W395" s="2"/>
      <c r="X395" s="2"/>
      <c r="Y395" s="2"/>
      <c r="Z395" s="2"/>
    </row>
    <row r="396" ht="15.75" customHeight="1">
      <c r="A396" s="3" t="s">
        <v>1764</v>
      </c>
      <c r="B396" s="3" t="s">
        <v>363</v>
      </c>
      <c r="C396" s="3" t="s">
        <v>1518</v>
      </c>
      <c r="D396" s="3" t="s">
        <v>1126</v>
      </c>
      <c r="E396" s="3" t="s">
        <v>1126</v>
      </c>
      <c r="F396" s="9" t="s">
        <v>1762</v>
      </c>
      <c r="G396" s="2"/>
      <c r="H396" s="9" t="s">
        <v>1765</v>
      </c>
      <c r="I396" s="2"/>
      <c r="J396" s="2"/>
      <c r="K396" s="2"/>
      <c r="L396" s="2"/>
      <c r="M396" s="2"/>
      <c r="N396" s="2"/>
      <c r="O396" s="2"/>
      <c r="P396" s="2"/>
      <c r="Q396" s="2"/>
      <c r="R396" s="2"/>
      <c r="S396" s="2"/>
      <c r="T396" s="2"/>
      <c r="U396" s="2"/>
      <c r="V396" s="2"/>
      <c r="W396" s="2"/>
      <c r="X396" s="2"/>
      <c r="Y396" s="2"/>
      <c r="Z396" s="2"/>
    </row>
    <row r="397" ht="15.75" customHeight="1">
      <c r="A397" s="3" t="s">
        <v>1766</v>
      </c>
      <c r="B397" s="3" t="s">
        <v>1736</v>
      </c>
      <c r="C397" s="3" t="s">
        <v>1518</v>
      </c>
      <c r="D397" s="3" t="s">
        <v>1126</v>
      </c>
      <c r="E397" s="3" t="s">
        <v>1126</v>
      </c>
      <c r="F397" s="9" t="s">
        <v>1762</v>
      </c>
      <c r="G397" s="2"/>
      <c r="H397" s="9" t="s">
        <v>1767</v>
      </c>
      <c r="I397" s="2"/>
      <c r="J397" s="2"/>
      <c r="K397" s="2"/>
      <c r="L397" s="2"/>
      <c r="M397" s="2"/>
      <c r="N397" s="2"/>
      <c r="O397" s="2"/>
      <c r="P397" s="2"/>
      <c r="Q397" s="2"/>
      <c r="R397" s="2"/>
      <c r="S397" s="2"/>
      <c r="T397" s="2"/>
      <c r="U397" s="2"/>
      <c r="V397" s="2"/>
      <c r="W397" s="2"/>
      <c r="X397" s="2"/>
      <c r="Y397" s="2"/>
      <c r="Z397" s="2"/>
    </row>
    <row r="398" ht="15.75" customHeight="1">
      <c r="A398" s="3" t="s">
        <v>1768</v>
      </c>
      <c r="B398" s="3" t="s">
        <v>363</v>
      </c>
      <c r="C398" s="3" t="s">
        <v>1518</v>
      </c>
      <c r="D398" s="3" t="s">
        <v>1126</v>
      </c>
      <c r="E398" s="3" t="s">
        <v>1126</v>
      </c>
      <c r="F398" s="9" t="s">
        <v>1762</v>
      </c>
      <c r="G398" s="2"/>
      <c r="H398" s="3" t="s">
        <v>1769</v>
      </c>
      <c r="I398" s="2"/>
      <c r="J398" s="2"/>
      <c r="K398" s="2"/>
      <c r="L398" s="2"/>
      <c r="M398" s="2"/>
      <c r="N398" s="2"/>
      <c r="O398" s="2"/>
      <c r="P398" s="2"/>
      <c r="Q398" s="2"/>
      <c r="R398" s="2"/>
      <c r="S398" s="2"/>
      <c r="T398" s="2"/>
      <c r="U398" s="2"/>
      <c r="V398" s="2"/>
      <c r="W398" s="2"/>
      <c r="X398" s="2"/>
      <c r="Y398" s="2"/>
      <c r="Z398" s="2"/>
    </row>
    <row r="399" ht="15.75" customHeight="1">
      <c r="A399" s="3" t="s">
        <v>1770</v>
      </c>
      <c r="B399" s="3" t="s">
        <v>1736</v>
      </c>
      <c r="C399" s="3" t="s">
        <v>1518</v>
      </c>
      <c r="D399" s="3" t="s">
        <v>1126</v>
      </c>
      <c r="E399" s="3" t="s">
        <v>1126</v>
      </c>
      <c r="F399" s="9" t="s">
        <v>1762</v>
      </c>
      <c r="G399" s="2"/>
      <c r="H399" s="3" t="s">
        <v>1771</v>
      </c>
      <c r="I399" s="2"/>
      <c r="J399" s="2"/>
      <c r="K399" s="2"/>
      <c r="L399" s="2"/>
      <c r="M399" s="2"/>
      <c r="N399" s="2"/>
      <c r="O399" s="2"/>
      <c r="P399" s="2"/>
      <c r="Q399" s="2"/>
      <c r="R399" s="2"/>
      <c r="S399" s="2"/>
      <c r="T399" s="2"/>
      <c r="U399" s="2"/>
      <c r="V399" s="2"/>
      <c r="W399" s="2"/>
      <c r="X399" s="2"/>
      <c r="Y399" s="2"/>
      <c r="Z399" s="2"/>
    </row>
    <row r="400" ht="15.75" customHeight="1">
      <c r="A400" s="3" t="s">
        <v>1772</v>
      </c>
      <c r="B400" s="3" t="s">
        <v>363</v>
      </c>
      <c r="C400" s="3" t="s">
        <v>1518</v>
      </c>
      <c r="D400" s="3" t="s">
        <v>1126</v>
      </c>
      <c r="E400" s="3" t="s">
        <v>1126</v>
      </c>
      <c r="F400" s="9" t="s">
        <v>1762</v>
      </c>
      <c r="G400" s="2"/>
      <c r="H400" s="9" t="s">
        <v>1773</v>
      </c>
      <c r="I400" s="2"/>
      <c r="J400" s="2"/>
      <c r="K400" s="2"/>
      <c r="L400" s="2"/>
      <c r="M400" s="2"/>
      <c r="N400" s="2"/>
      <c r="O400" s="2"/>
      <c r="P400" s="2"/>
      <c r="Q400" s="2"/>
      <c r="R400" s="2"/>
      <c r="S400" s="2"/>
      <c r="T400" s="2"/>
      <c r="U400" s="2"/>
      <c r="V400" s="2"/>
      <c r="W400" s="2"/>
      <c r="X400" s="2"/>
      <c r="Y400" s="2"/>
      <c r="Z400" s="2"/>
    </row>
    <row r="401" ht="15.75" customHeight="1">
      <c r="A401" s="3" t="s">
        <v>1774</v>
      </c>
      <c r="B401" s="3" t="s">
        <v>1748</v>
      </c>
      <c r="C401" s="3" t="s">
        <v>1518</v>
      </c>
      <c r="D401" s="3" t="s">
        <v>1126</v>
      </c>
      <c r="E401" s="3" t="s">
        <v>1126</v>
      </c>
      <c r="F401" s="9" t="s">
        <v>1762</v>
      </c>
      <c r="G401" s="2"/>
      <c r="H401" s="3" t="s">
        <v>1775</v>
      </c>
      <c r="I401" s="2"/>
      <c r="J401" s="2"/>
      <c r="K401" s="2"/>
      <c r="L401" s="2"/>
      <c r="M401" s="2"/>
      <c r="N401" s="2"/>
      <c r="O401" s="2"/>
      <c r="P401" s="2"/>
      <c r="Q401" s="2"/>
      <c r="R401" s="2"/>
      <c r="S401" s="2"/>
      <c r="T401" s="2"/>
      <c r="U401" s="2"/>
      <c r="V401" s="2"/>
      <c r="W401" s="2"/>
      <c r="X401" s="2"/>
      <c r="Y401" s="2"/>
      <c r="Z401" s="2"/>
    </row>
    <row r="402" ht="15.75" customHeight="1">
      <c r="A402" s="3" t="s">
        <v>1776</v>
      </c>
      <c r="B402" s="3" t="s">
        <v>1694</v>
      </c>
      <c r="C402" s="3" t="s">
        <v>1518</v>
      </c>
      <c r="D402" s="3" t="s">
        <v>1126</v>
      </c>
      <c r="E402" s="3" t="s">
        <v>1126</v>
      </c>
      <c r="F402" s="9" t="s">
        <v>1762</v>
      </c>
      <c r="G402" s="2"/>
      <c r="H402" s="9" t="s">
        <v>985</v>
      </c>
      <c r="I402" s="2"/>
      <c r="J402" s="2"/>
      <c r="K402" s="2"/>
      <c r="L402" s="2"/>
      <c r="M402" s="2"/>
      <c r="N402" s="2"/>
      <c r="O402" s="2"/>
      <c r="P402" s="2"/>
      <c r="Q402" s="2"/>
      <c r="R402" s="2"/>
      <c r="S402" s="2"/>
      <c r="T402" s="2"/>
      <c r="U402" s="2"/>
      <c r="V402" s="2"/>
      <c r="W402" s="2"/>
      <c r="X402" s="2"/>
      <c r="Y402" s="2"/>
      <c r="Z402" s="2"/>
    </row>
    <row r="403" ht="15.75" customHeight="1">
      <c r="A403" s="3" t="s">
        <v>1777</v>
      </c>
      <c r="B403" s="3" t="s">
        <v>1748</v>
      </c>
      <c r="C403" s="3" t="s">
        <v>1518</v>
      </c>
      <c r="D403" s="3" t="s">
        <v>1126</v>
      </c>
      <c r="E403" s="3" t="s">
        <v>1126</v>
      </c>
      <c r="F403" s="9" t="s">
        <v>1762</v>
      </c>
      <c r="G403" s="2"/>
      <c r="H403" s="3" t="s">
        <v>960</v>
      </c>
      <c r="I403" s="2"/>
      <c r="J403" s="2"/>
      <c r="K403" s="2"/>
      <c r="L403" s="2"/>
      <c r="M403" s="2"/>
      <c r="N403" s="2"/>
      <c r="O403" s="2"/>
      <c r="P403" s="2"/>
      <c r="Q403" s="2"/>
      <c r="R403" s="2"/>
      <c r="S403" s="2"/>
      <c r="T403" s="2"/>
      <c r="U403" s="2"/>
      <c r="V403" s="2"/>
      <c r="W403" s="2"/>
      <c r="X403" s="2"/>
      <c r="Y403" s="2"/>
      <c r="Z403" s="2"/>
    </row>
    <row r="404" ht="15.75" customHeight="1">
      <c r="A404" s="3" t="s">
        <v>1778</v>
      </c>
      <c r="B404" s="3" t="s">
        <v>1694</v>
      </c>
      <c r="C404" s="3" t="s">
        <v>1518</v>
      </c>
      <c r="D404" s="3" t="s">
        <v>1126</v>
      </c>
      <c r="E404" s="3" t="s">
        <v>1126</v>
      </c>
      <c r="F404" s="9" t="s">
        <v>1762</v>
      </c>
      <c r="G404" s="2"/>
      <c r="H404" s="3" t="s">
        <v>1779</v>
      </c>
      <c r="I404" s="9" t="s">
        <v>1780</v>
      </c>
      <c r="J404" s="2"/>
      <c r="K404" s="2"/>
      <c r="L404" s="9" t="s">
        <v>1781</v>
      </c>
      <c r="M404" s="2"/>
      <c r="N404" s="2"/>
      <c r="O404" s="2"/>
      <c r="P404" s="2"/>
      <c r="Q404" s="2"/>
      <c r="R404" s="2"/>
      <c r="S404" s="2"/>
      <c r="T404" s="2"/>
      <c r="U404" s="2"/>
      <c r="V404" s="2"/>
      <c r="W404" s="2"/>
      <c r="X404" s="2"/>
      <c r="Y404" s="2"/>
      <c r="Z404" s="2"/>
    </row>
    <row r="405" ht="15.75" customHeight="1">
      <c r="A405" s="3" t="s">
        <v>1782</v>
      </c>
      <c r="B405" s="3" t="s">
        <v>1694</v>
      </c>
      <c r="C405" s="3" t="s">
        <v>1518</v>
      </c>
      <c r="D405" s="3" t="s">
        <v>1126</v>
      </c>
      <c r="E405" s="3" t="s">
        <v>1126</v>
      </c>
      <c r="F405" s="9" t="s">
        <v>1762</v>
      </c>
      <c r="G405" s="2"/>
      <c r="H405" s="3" t="s">
        <v>1779</v>
      </c>
      <c r="I405" s="9" t="s">
        <v>1780</v>
      </c>
      <c r="J405" s="2"/>
      <c r="K405" s="2"/>
      <c r="L405" s="9" t="s">
        <v>1781</v>
      </c>
      <c r="M405" s="2"/>
      <c r="N405" s="2"/>
      <c r="O405" s="2"/>
      <c r="P405" s="2"/>
      <c r="Q405" s="2"/>
      <c r="R405" s="2"/>
      <c r="S405" s="2"/>
      <c r="T405" s="2"/>
      <c r="U405" s="2"/>
      <c r="V405" s="2"/>
      <c r="W405" s="2"/>
      <c r="X405" s="2"/>
      <c r="Y405" s="2"/>
      <c r="Z405" s="2"/>
    </row>
    <row r="406" ht="15.75" customHeight="1">
      <c r="A406" s="3" t="s">
        <v>1783</v>
      </c>
      <c r="B406" s="3" t="s">
        <v>363</v>
      </c>
      <c r="C406" s="3" t="s">
        <v>1518</v>
      </c>
      <c r="D406" s="3" t="s">
        <v>1126</v>
      </c>
      <c r="E406" s="3" t="s">
        <v>1126</v>
      </c>
      <c r="F406" s="9" t="s">
        <v>1762</v>
      </c>
      <c r="G406" s="2"/>
      <c r="H406" s="3" t="s">
        <v>1779</v>
      </c>
      <c r="I406" s="9" t="s">
        <v>1780</v>
      </c>
      <c r="J406" s="2"/>
      <c r="K406" s="2"/>
      <c r="L406" s="9" t="s">
        <v>1781</v>
      </c>
      <c r="M406" s="2"/>
      <c r="N406" s="2"/>
      <c r="O406" s="2"/>
      <c r="P406" s="2"/>
      <c r="Q406" s="2"/>
      <c r="R406" s="2"/>
      <c r="S406" s="2"/>
      <c r="T406" s="2"/>
      <c r="U406" s="2"/>
      <c r="V406" s="2"/>
      <c r="W406" s="2"/>
      <c r="X406" s="2"/>
      <c r="Y406" s="2"/>
      <c r="Z406" s="2"/>
    </row>
    <row r="407" ht="15.75" customHeight="1">
      <c r="A407" s="3" t="s">
        <v>1784</v>
      </c>
      <c r="B407" s="3" t="s">
        <v>363</v>
      </c>
      <c r="C407" s="3" t="s">
        <v>1518</v>
      </c>
      <c r="D407" s="3" t="s">
        <v>1126</v>
      </c>
      <c r="E407" s="3" t="s">
        <v>1126</v>
      </c>
      <c r="F407" s="9" t="s">
        <v>1762</v>
      </c>
      <c r="G407" s="2"/>
      <c r="H407" s="3" t="s">
        <v>1779</v>
      </c>
      <c r="I407" s="9" t="s">
        <v>1780</v>
      </c>
      <c r="J407" s="2"/>
      <c r="K407" s="2"/>
      <c r="L407" s="9" t="s">
        <v>1781</v>
      </c>
      <c r="M407" s="2"/>
      <c r="N407" s="2"/>
      <c r="O407" s="2"/>
      <c r="P407" s="2"/>
      <c r="Q407" s="2"/>
      <c r="R407" s="2"/>
      <c r="S407" s="2"/>
      <c r="T407" s="2"/>
      <c r="U407" s="2"/>
      <c r="V407" s="2"/>
      <c r="W407" s="2"/>
      <c r="X407" s="2"/>
      <c r="Y407" s="2"/>
      <c r="Z407" s="2"/>
    </row>
    <row r="408" ht="15.75" customHeight="1">
      <c r="A408" s="3" t="s">
        <v>1785</v>
      </c>
      <c r="B408" s="3" t="s">
        <v>363</v>
      </c>
      <c r="C408" s="3" t="s">
        <v>1518</v>
      </c>
      <c r="D408" s="3" t="s">
        <v>1126</v>
      </c>
      <c r="E408" s="3" t="s">
        <v>1126</v>
      </c>
      <c r="F408" s="9" t="s">
        <v>1762</v>
      </c>
      <c r="G408" s="2"/>
      <c r="H408" s="3" t="s">
        <v>1779</v>
      </c>
      <c r="I408" s="9" t="s">
        <v>1780</v>
      </c>
      <c r="J408" s="2"/>
      <c r="K408" s="2"/>
      <c r="L408" s="9" t="s">
        <v>1781</v>
      </c>
      <c r="M408" s="2"/>
      <c r="N408" s="2"/>
      <c r="O408" s="2"/>
      <c r="P408" s="2"/>
      <c r="Q408" s="2"/>
      <c r="R408" s="2"/>
      <c r="S408" s="2"/>
      <c r="T408" s="2"/>
      <c r="U408" s="2"/>
      <c r="V408" s="2"/>
      <c r="W408" s="2"/>
      <c r="X408" s="2"/>
      <c r="Y408" s="2"/>
      <c r="Z408" s="2"/>
    </row>
    <row r="409" ht="15.75" customHeight="1">
      <c r="A409" s="3" t="s">
        <v>1786</v>
      </c>
      <c r="B409" s="3" t="s">
        <v>1787</v>
      </c>
      <c r="C409" s="3" t="s">
        <v>720</v>
      </c>
      <c r="D409" s="33" t="s">
        <v>795</v>
      </c>
      <c r="E409" s="3" t="s">
        <v>1788</v>
      </c>
      <c r="F409" s="9" t="s">
        <v>1789</v>
      </c>
      <c r="G409" s="2"/>
      <c r="H409" s="3" t="s">
        <v>1790</v>
      </c>
      <c r="I409" s="10">
        <v>4.132622803E9</v>
      </c>
      <c r="J409" s="2"/>
      <c r="K409" s="2"/>
      <c r="L409" s="9" t="s">
        <v>1462</v>
      </c>
      <c r="M409" s="2"/>
      <c r="N409" s="2"/>
      <c r="O409" s="2"/>
      <c r="P409" s="2"/>
      <c r="Q409" s="2"/>
      <c r="R409" s="2"/>
      <c r="S409" s="2"/>
      <c r="T409" s="2"/>
      <c r="U409" s="2"/>
      <c r="V409" s="2"/>
      <c r="W409" s="2"/>
      <c r="X409" s="2"/>
      <c r="Y409" s="2"/>
      <c r="Z409" s="2"/>
    </row>
    <row r="410" ht="15.75" customHeight="1">
      <c r="A410" s="3" t="s">
        <v>1791</v>
      </c>
      <c r="B410" s="3" t="s">
        <v>1792</v>
      </c>
      <c r="C410" s="3" t="s">
        <v>720</v>
      </c>
      <c r="D410" s="3" t="s">
        <v>720</v>
      </c>
      <c r="E410" s="3" t="s">
        <v>1788</v>
      </c>
      <c r="F410" s="9" t="s">
        <v>1789</v>
      </c>
      <c r="G410" s="2"/>
      <c r="H410" s="9" t="s">
        <v>1793</v>
      </c>
      <c r="I410" s="2"/>
      <c r="J410" s="2"/>
      <c r="K410" s="2"/>
      <c r="L410" s="9" t="s">
        <v>1794</v>
      </c>
      <c r="M410" s="2"/>
      <c r="N410" s="2"/>
      <c r="O410" s="2"/>
      <c r="P410" s="2"/>
      <c r="Q410" s="2"/>
      <c r="R410" s="2"/>
      <c r="S410" s="2"/>
      <c r="T410" s="2"/>
      <c r="U410" s="2"/>
      <c r="V410" s="2"/>
      <c r="W410" s="2"/>
      <c r="X410" s="2"/>
      <c r="Y410" s="2"/>
      <c r="Z410" s="2"/>
    </row>
    <row r="411" ht="15.75" customHeight="1">
      <c r="A411" s="3" t="s">
        <v>1795</v>
      </c>
      <c r="B411" s="3" t="s">
        <v>1458</v>
      </c>
      <c r="C411" s="3" t="s">
        <v>530</v>
      </c>
      <c r="D411" s="3" t="s">
        <v>1796</v>
      </c>
      <c r="E411" s="3" t="s">
        <v>1788</v>
      </c>
      <c r="F411" s="9" t="s">
        <v>1789</v>
      </c>
      <c r="G411" s="2"/>
      <c r="H411" s="3" t="s">
        <v>1797</v>
      </c>
      <c r="I411" s="10">
        <v>4.132622803E9</v>
      </c>
      <c r="J411" s="2"/>
      <c r="K411" s="2"/>
      <c r="L411" s="9" t="s">
        <v>1462</v>
      </c>
      <c r="M411" s="2"/>
      <c r="N411" s="2"/>
      <c r="O411" s="2"/>
      <c r="P411" s="2"/>
      <c r="Q411" s="2"/>
      <c r="R411" s="2"/>
      <c r="S411" s="2"/>
      <c r="T411" s="2"/>
      <c r="U411" s="2"/>
      <c r="V411" s="2"/>
      <c r="W411" s="2"/>
      <c r="X411" s="2"/>
      <c r="Y411" s="2"/>
      <c r="Z411" s="2"/>
    </row>
    <row r="412" ht="15.75" customHeight="1">
      <c r="A412" s="3" t="s">
        <v>1798</v>
      </c>
      <c r="B412" s="3" t="s">
        <v>1611</v>
      </c>
      <c r="C412" s="3" t="s">
        <v>530</v>
      </c>
      <c r="D412" s="3" t="s">
        <v>721</v>
      </c>
      <c r="E412" s="3" t="s">
        <v>1788</v>
      </c>
      <c r="F412" s="9" t="s">
        <v>1789</v>
      </c>
      <c r="G412" s="2"/>
      <c r="H412" s="3" t="s">
        <v>1000</v>
      </c>
      <c r="I412" s="10">
        <v>4.132622803E9</v>
      </c>
      <c r="J412" s="2"/>
      <c r="K412" s="2"/>
      <c r="L412" s="9" t="s">
        <v>1462</v>
      </c>
      <c r="M412" s="2"/>
      <c r="N412" s="2"/>
      <c r="O412" s="2"/>
      <c r="P412" s="2"/>
      <c r="Q412" s="2"/>
      <c r="R412" s="2"/>
      <c r="S412" s="2"/>
      <c r="T412" s="2"/>
      <c r="U412" s="2"/>
      <c r="V412" s="2"/>
      <c r="W412" s="2"/>
      <c r="X412" s="2"/>
      <c r="Y412" s="2"/>
      <c r="Z412" s="2"/>
    </row>
    <row r="413" ht="15.75" customHeight="1">
      <c r="A413" s="3" t="s">
        <v>1799</v>
      </c>
      <c r="B413" s="3" t="s">
        <v>1800</v>
      </c>
      <c r="C413" s="3" t="s">
        <v>530</v>
      </c>
      <c r="D413" s="3" t="s">
        <v>661</v>
      </c>
      <c r="E413" s="3" t="s">
        <v>1788</v>
      </c>
      <c r="F413" s="9" t="s">
        <v>1789</v>
      </c>
      <c r="G413" s="2"/>
      <c r="H413" s="3" t="s">
        <v>1801</v>
      </c>
      <c r="I413" s="10">
        <v>4.132622803E9</v>
      </c>
      <c r="J413" s="2"/>
      <c r="K413" s="2"/>
      <c r="L413" s="9" t="s">
        <v>1462</v>
      </c>
      <c r="M413" s="2"/>
      <c r="N413" s="2"/>
      <c r="O413" s="2"/>
      <c r="P413" s="2"/>
      <c r="Q413" s="2"/>
      <c r="R413" s="2"/>
      <c r="S413" s="2"/>
      <c r="T413" s="2"/>
      <c r="U413" s="2"/>
      <c r="V413" s="2"/>
      <c r="W413" s="2"/>
      <c r="X413" s="2"/>
      <c r="Y413" s="2"/>
      <c r="Z413" s="2"/>
    </row>
    <row r="414" ht="15.75" customHeight="1">
      <c r="A414" s="3" t="s">
        <v>1802</v>
      </c>
      <c r="B414" s="3" t="s">
        <v>1458</v>
      </c>
      <c r="C414" s="3" t="s">
        <v>530</v>
      </c>
      <c r="D414" s="3" t="s">
        <v>1803</v>
      </c>
      <c r="E414" s="3" t="s">
        <v>1788</v>
      </c>
      <c r="F414" s="9" t="s">
        <v>1789</v>
      </c>
      <c r="G414" s="2"/>
      <c r="H414" s="3" t="s">
        <v>1804</v>
      </c>
      <c r="I414" s="10">
        <v>4.132622803E9</v>
      </c>
      <c r="J414" s="2"/>
      <c r="K414" s="2"/>
      <c r="L414" s="9" t="s">
        <v>1462</v>
      </c>
      <c r="M414" s="2"/>
      <c r="N414" s="2"/>
      <c r="O414" s="2"/>
      <c r="P414" s="2"/>
      <c r="Q414" s="2"/>
      <c r="R414" s="2"/>
      <c r="S414" s="2"/>
      <c r="T414" s="2"/>
      <c r="U414" s="2"/>
      <c r="V414" s="2"/>
      <c r="W414" s="2"/>
      <c r="X414" s="2"/>
      <c r="Y414" s="2"/>
      <c r="Z414" s="2"/>
    </row>
    <row r="415" ht="15.75" customHeight="1">
      <c r="A415" s="3" t="s">
        <v>1805</v>
      </c>
      <c r="B415" s="3" t="s">
        <v>1458</v>
      </c>
      <c r="C415" s="3" t="s">
        <v>530</v>
      </c>
      <c r="D415" s="3" t="s">
        <v>1217</v>
      </c>
      <c r="E415" s="3" t="s">
        <v>1788</v>
      </c>
      <c r="F415" s="9" t="s">
        <v>1789</v>
      </c>
      <c r="G415" s="2"/>
      <c r="H415" s="3" t="s">
        <v>1806</v>
      </c>
      <c r="I415" s="10">
        <v>4.132622803E9</v>
      </c>
      <c r="J415" s="2"/>
      <c r="K415" s="2"/>
      <c r="L415" s="9" t="s">
        <v>1462</v>
      </c>
      <c r="M415" s="2"/>
      <c r="N415" s="2"/>
      <c r="O415" s="2"/>
      <c r="P415" s="2"/>
      <c r="Q415" s="2"/>
      <c r="R415" s="2"/>
      <c r="S415" s="2"/>
      <c r="T415" s="2"/>
      <c r="U415" s="2"/>
      <c r="V415" s="2"/>
      <c r="W415" s="2"/>
      <c r="X415" s="2"/>
      <c r="Y415" s="2"/>
      <c r="Z415" s="2"/>
    </row>
    <row r="416" ht="15.75" customHeight="1">
      <c r="A416" s="3" t="s">
        <v>1807</v>
      </c>
      <c r="B416" s="3" t="s">
        <v>363</v>
      </c>
      <c r="C416" s="3" t="s">
        <v>720</v>
      </c>
      <c r="D416" s="33" t="s">
        <v>795</v>
      </c>
      <c r="E416" s="3" t="s">
        <v>1788</v>
      </c>
      <c r="F416" s="9" t="s">
        <v>1789</v>
      </c>
      <c r="G416" s="2"/>
      <c r="H416" s="3" t="s">
        <v>1808</v>
      </c>
      <c r="I416" s="10">
        <v>4.132622803E9</v>
      </c>
      <c r="J416" s="2"/>
      <c r="K416" s="2"/>
      <c r="L416" s="9" t="s">
        <v>1462</v>
      </c>
      <c r="M416" s="2"/>
      <c r="N416" s="2"/>
      <c r="O416" s="2"/>
      <c r="P416" s="2"/>
      <c r="Q416" s="2"/>
      <c r="R416" s="2"/>
      <c r="S416" s="2"/>
      <c r="T416" s="2"/>
      <c r="U416" s="2"/>
      <c r="V416" s="2"/>
      <c r="W416" s="2"/>
      <c r="X416" s="2"/>
      <c r="Y416" s="2"/>
      <c r="Z416" s="2"/>
    </row>
    <row r="417" ht="15.75" customHeight="1">
      <c r="A417" s="3" t="s">
        <v>1809</v>
      </c>
      <c r="B417" s="3" t="s">
        <v>1810</v>
      </c>
      <c r="C417" s="3" t="s">
        <v>1518</v>
      </c>
      <c r="D417" s="3" t="s">
        <v>1126</v>
      </c>
      <c r="E417" s="3" t="s">
        <v>1126</v>
      </c>
      <c r="F417" s="9" t="s">
        <v>1789</v>
      </c>
      <c r="G417" s="2"/>
      <c r="H417" s="3" t="s">
        <v>1811</v>
      </c>
      <c r="I417" s="2"/>
      <c r="J417" s="9" t="s">
        <v>1812</v>
      </c>
      <c r="K417" s="2"/>
      <c r="L417" s="9" t="s">
        <v>1813</v>
      </c>
      <c r="M417" s="2"/>
      <c r="N417" s="2"/>
      <c r="O417" s="2"/>
      <c r="P417" s="2"/>
      <c r="Q417" s="2"/>
      <c r="R417" s="2"/>
      <c r="S417" s="2"/>
      <c r="T417" s="2"/>
      <c r="U417" s="2"/>
      <c r="V417" s="2"/>
      <c r="W417" s="2"/>
      <c r="X417" s="2"/>
      <c r="Y417" s="2"/>
      <c r="Z417" s="2"/>
    </row>
    <row r="418" ht="15.75" customHeight="1">
      <c r="A418" s="3" t="s">
        <v>1814</v>
      </c>
      <c r="B418" s="3" t="s">
        <v>1815</v>
      </c>
      <c r="C418" s="36" t="s">
        <v>1125</v>
      </c>
      <c r="D418" s="3" t="s">
        <v>1126</v>
      </c>
      <c r="E418" s="32" t="s">
        <v>1126</v>
      </c>
      <c r="F418" s="3" t="s">
        <v>1816</v>
      </c>
      <c r="G418" s="3" t="s">
        <v>1817</v>
      </c>
      <c r="H418" s="3" t="s">
        <v>1818</v>
      </c>
      <c r="I418" s="3" t="s">
        <v>1819</v>
      </c>
      <c r="J418" s="9" t="s">
        <v>1820</v>
      </c>
      <c r="K418" s="2"/>
      <c r="L418" s="9" t="s">
        <v>1821</v>
      </c>
      <c r="M418" s="2"/>
      <c r="N418" s="2"/>
      <c r="O418" s="2"/>
      <c r="P418" s="2"/>
      <c r="Q418" s="2"/>
      <c r="R418" s="2"/>
      <c r="S418" s="2"/>
      <c r="T418" s="2"/>
      <c r="U418" s="2"/>
      <c r="V418" s="2"/>
      <c r="W418" s="2"/>
      <c r="X418" s="2"/>
      <c r="Y418" s="2"/>
      <c r="Z418" s="2"/>
    </row>
    <row r="419" ht="15.75" customHeight="1">
      <c r="A419" s="3" t="s">
        <v>1822</v>
      </c>
      <c r="B419" s="3" t="s">
        <v>1611</v>
      </c>
      <c r="C419" s="36" t="s">
        <v>1125</v>
      </c>
      <c r="D419" s="3" t="s">
        <v>721</v>
      </c>
      <c r="E419" s="32" t="s">
        <v>1126</v>
      </c>
      <c r="F419" s="9" t="s">
        <v>1789</v>
      </c>
      <c r="G419" s="2"/>
      <c r="H419" s="3" t="s">
        <v>1000</v>
      </c>
      <c r="I419" s="10">
        <v>4.132622803E9</v>
      </c>
      <c r="J419" s="2"/>
      <c r="K419" s="2"/>
      <c r="L419" s="2"/>
      <c r="M419" s="2"/>
      <c r="N419" s="2"/>
      <c r="O419" s="2"/>
      <c r="P419" s="2"/>
      <c r="Q419" s="2"/>
      <c r="R419" s="2"/>
      <c r="S419" s="2"/>
      <c r="T419" s="2"/>
      <c r="U419" s="2"/>
      <c r="V419" s="2"/>
      <c r="W419" s="2"/>
      <c r="X419" s="2"/>
      <c r="Y419" s="2"/>
      <c r="Z419" s="2"/>
    </row>
    <row r="420" ht="15.75" customHeight="1">
      <c r="A420" s="3" t="s">
        <v>1528</v>
      </c>
      <c r="B420" s="3" t="s">
        <v>1195</v>
      </c>
      <c r="C420" s="36" t="s">
        <v>1518</v>
      </c>
      <c r="D420" s="3" t="s">
        <v>1126</v>
      </c>
      <c r="E420" s="32" t="s">
        <v>1126</v>
      </c>
      <c r="F420" s="3" t="s">
        <v>1190</v>
      </c>
      <c r="G420" s="3" t="s">
        <v>1529</v>
      </c>
      <c r="H420" s="3" t="s">
        <v>1191</v>
      </c>
      <c r="I420" s="3" t="s">
        <v>1192</v>
      </c>
      <c r="J420" s="9" t="s">
        <v>1193</v>
      </c>
      <c r="K420" s="2"/>
      <c r="L420" s="2"/>
      <c r="M420" s="2"/>
      <c r="N420" s="2"/>
      <c r="O420" s="2"/>
      <c r="P420" s="2"/>
      <c r="Q420" s="2"/>
      <c r="R420" s="2"/>
      <c r="S420" s="2"/>
      <c r="T420" s="2"/>
      <c r="U420" s="2"/>
      <c r="V420" s="2"/>
      <c r="W420" s="2"/>
      <c r="X420" s="2"/>
      <c r="Y420" s="2"/>
      <c r="Z420" s="2"/>
    </row>
    <row r="421" ht="15.75" customHeight="1">
      <c r="A421" s="3" t="s">
        <v>1823</v>
      </c>
      <c r="B421" s="3" t="s">
        <v>1084</v>
      </c>
      <c r="C421" s="3" t="s">
        <v>1125</v>
      </c>
      <c r="D421" s="3" t="s">
        <v>1824</v>
      </c>
      <c r="E421" s="3" t="s">
        <v>1059</v>
      </c>
      <c r="F421" s="9" t="s">
        <v>204</v>
      </c>
      <c r="G421" s="2"/>
      <c r="H421" s="3" t="s">
        <v>1221</v>
      </c>
      <c r="I421" s="9" t="s">
        <v>1070</v>
      </c>
      <c r="J421" s="2"/>
      <c r="K421" s="2"/>
      <c r="L421" s="2"/>
      <c r="M421" s="2"/>
      <c r="N421" s="2"/>
      <c r="O421" s="2"/>
      <c r="P421" s="2"/>
      <c r="Q421" s="2"/>
      <c r="R421" s="2"/>
      <c r="S421" s="2"/>
      <c r="T421" s="2"/>
      <c r="U421" s="2"/>
      <c r="V421" s="2"/>
      <c r="W421" s="2"/>
      <c r="X421" s="2"/>
      <c r="Y421" s="2"/>
      <c r="Z421" s="2"/>
    </row>
    <row r="422" ht="15.75" customHeight="1">
      <c r="A422" s="3" t="s">
        <v>1825</v>
      </c>
      <c r="B422" s="3" t="s">
        <v>1826</v>
      </c>
      <c r="C422" s="3" t="s">
        <v>1518</v>
      </c>
      <c r="D422" s="3" t="s">
        <v>1126</v>
      </c>
      <c r="E422" s="9" t="s">
        <v>1126</v>
      </c>
      <c r="F422" s="2"/>
      <c r="G422" s="3" t="s">
        <v>1631</v>
      </c>
      <c r="H422" s="3" t="s">
        <v>1632</v>
      </c>
      <c r="I422" s="9" t="s">
        <v>1633</v>
      </c>
      <c r="J422" s="2"/>
      <c r="K422" s="2"/>
      <c r="L422" s="2"/>
      <c r="M422" s="6" t="s">
        <v>1827</v>
      </c>
      <c r="N422" s="2"/>
      <c r="O422" s="2"/>
      <c r="P422" s="2"/>
      <c r="Q422" s="2"/>
      <c r="R422" s="2"/>
      <c r="S422" s="2"/>
      <c r="T422" s="2"/>
      <c r="U422" s="2"/>
      <c r="V422" s="2"/>
      <c r="W422" s="2"/>
      <c r="X422" s="2"/>
      <c r="Y422" s="2"/>
      <c r="Z422" s="2"/>
    </row>
    <row r="423" ht="15.75" customHeight="1">
      <c r="A423" s="3" t="s">
        <v>1828</v>
      </c>
      <c r="B423" s="3" t="s">
        <v>1095</v>
      </c>
      <c r="C423" s="3" t="s">
        <v>1829</v>
      </c>
      <c r="D423" s="3" t="s">
        <v>721</v>
      </c>
      <c r="E423" s="3" t="s">
        <v>1211</v>
      </c>
      <c r="F423" s="3" t="s">
        <v>204</v>
      </c>
      <c r="G423" s="3" t="s">
        <v>1830</v>
      </c>
      <c r="H423" s="3" t="s">
        <v>1069</v>
      </c>
      <c r="I423" s="3" t="s">
        <v>1385</v>
      </c>
      <c r="J423" s="9" t="s">
        <v>1071</v>
      </c>
      <c r="K423" s="2"/>
      <c r="L423" s="9" t="s">
        <v>1831</v>
      </c>
      <c r="M423" s="2"/>
      <c r="N423" s="2"/>
      <c r="O423" s="2"/>
      <c r="P423" s="2"/>
      <c r="Q423" s="2"/>
      <c r="R423" s="2"/>
      <c r="S423" s="2"/>
      <c r="T423" s="2"/>
      <c r="U423" s="2"/>
      <c r="V423" s="2"/>
      <c r="W423" s="2"/>
      <c r="X423" s="2"/>
      <c r="Y423" s="2"/>
      <c r="Z423" s="2"/>
    </row>
    <row r="424" ht="15.75" customHeight="1">
      <c r="A424" s="3" t="s">
        <v>1832</v>
      </c>
      <c r="B424" s="3" t="s">
        <v>1084</v>
      </c>
      <c r="C424" s="3" t="s">
        <v>1833</v>
      </c>
      <c r="D424" s="3" t="s">
        <v>1834</v>
      </c>
      <c r="E424" s="3" t="s">
        <v>1835</v>
      </c>
      <c r="F424" s="3" t="s">
        <v>204</v>
      </c>
      <c r="G424" s="3" t="s">
        <v>1836</v>
      </c>
      <c r="H424" s="3" t="s">
        <v>1837</v>
      </c>
      <c r="I424" s="3" t="s">
        <v>1070</v>
      </c>
      <c r="J424" s="9" t="s">
        <v>1071</v>
      </c>
      <c r="K424" s="2"/>
      <c r="L424" s="9" t="s">
        <v>1838</v>
      </c>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38" t="s">
        <v>1839</v>
      </c>
      <c r="B426" s="39" t="s">
        <v>1840</v>
      </c>
      <c r="C426" s="40">
        <v>45934.0</v>
      </c>
      <c r="D426" s="39" t="s">
        <v>119</v>
      </c>
      <c r="E426" s="41">
        <v>0.8333333333333334</v>
      </c>
      <c r="F426" s="39" t="s">
        <v>1841</v>
      </c>
      <c r="G426" s="39" t="s">
        <v>1842</v>
      </c>
      <c r="H426" s="39" t="s">
        <v>1341</v>
      </c>
      <c r="I426" s="42"/>
      <c r="J426" s="39" t="s">
        <v>1342</v>
      </c>
      <c r="K426" s="39" t="s">
        <v>1843</v>
      </c>
      <c r="L426" s="43" t="s">
        <v>1844</v>
      </c>
      <c r="M426" s="42"/>
      <c r="N426" s="42"/>
      <c r="O426" s="42"/>
      <c r="P426" s="39" t="s">
        <v>1341</v>
      </c>
      <c r="Q426" s="42"/>
      <c r="R426" s="42"/>
      <c r="S426" s="2"/>
      <c r="T426" s="2"/>
      <c r="U426" s="2"/>
      <c r="V426" s="2"/>
      <c r="W426" s="2"/>
      <c r="X426" s="2"/>
      <c r="Y426" s="2"/>
      <c r="Z426" s="2"/>
    </row>
    <row r="427" ht="15.75" customHeight="1">
      <c r="A427" s="38" t="s">
        <v>1845</v>
      </c>
      <c r="B427" s="39" t="s">
        <v>1846</v>
      </c>
      <c r="C427" s="40">
        <v>45935.0</v>
      </c>
      <c r="D427" s="39" t="s">
        <v>92</v>
      </c>
      <c r="E427" s="41">
        <v>0.6666666666666666</v>
      </c>
      <c r="F427" s="39" t="s">
        <v>1841</v>
      </c>
      <c r="G427" s="39" t="s">
        <v>1847</v>
      </c>
      <c r="H427" s="39" t="s">
        <v>1341</v>
      </c>
      <c r="I427" s="42"/>
      <c r="J427" s="39" t="s">
        <v>1342</v>
      </c>
      <c r="K427" s="39" t="s">
        <v>1843</v>
      </c>
      <c r="L427" s="43" t="s">
        <v>1844</v>
      </c>
      <c r="M427" s="42"/>
      <c r="N427" s="42"/>
      <c r="O427" s="42"/>
      <c r="P427" s="39" t="s">
        <v>1341</v>
      </c>
      <c r="Q427" s="42"/>
      <c r="R427" s="42"/>
      <c r="S427" s="2"/>
      <c r="T427" s="2"/>
      <c r="U427" s="2"/>
      <c r="V427" s="2"/>
      <c r="W427" s="2"/>
      <c r="X427" s="2"/>
      <c r="Y427" s="2"/>
      <c r="Z427" s="2"/>
    </row>
    <row r="428" ht="15.75" customHeight="1">
      <c r="A428" s="38" t="s">
        <v>1848</v>
      </c>
      <c r="B428" s="39" t="s">
        <v>1849</v>
      </c>
      <c r="C428" s="40">
        <v>45935.0</v>
      </c>
      <c r="D428" s="39" t="s">
        <v>92</v>
      </c>
      <c r="E428" s="41">
        <v>0.8333333333333334</v>
      </c>
      <c r="F428" s="39" t="s">
        <v>1841</v>
      </c>
      <c r="G428" s="39" t="s">
        <v>1850</v>
      </c>
      <c r="H428" s="39" t="s">
        <v>1341</v>
      </c>
      <c r="I428" s="42"/>
      <c r="J428" s="39" t="s">
        <v>1342</v>
      </c>
      <c r="K428" s="39" t="s">
        <v>1843</v>
      </c>
      <c r="L428" s="43" t="s">
        <v>1844</v>
      </c>
      <c r="M428" s="42"/>
      <c r="N428" s="42"/>
      <c r="O428" s="42"/>
      <c r="P428" s="39" t="s">
        <v>1341</v>
      </c>
      <c r="Q428" s="42"/>
      <c r="R428" s="4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autoFilter ref="$A$1:$Z$46"/>
  <hyperlinks>
    <hyperlink r:id="rId1" ref="J2"/>
    <hyperlink r:id="rId2" ref="M2"/>
    <hyperlink r:id="rId3" ref="O2"/>
    <hyperlink r:id="rId4" ref="O3"/>
    <hyperlink r:id="rId5" ref="O4"/>
    <hyperlink r:id="rId6" ref="J5"/>
    <hyperlink r:id="rId7" ref="M5"/>
    <hyperlink r:id="rId8" ref="O5"/>
    <hyperlink r:id="rId9" ref="J6"/>
    <hyperlink r:id="rId10" ref="M6"/>
    <hyperlink r:id="rId11" ref="O6"/>
    <hyperlink r:id="rId12" ref="O7"/>
    <hyperlink r:id="rId13" ref="O8"/>
    <hyperlink r:id="rId14" ref="O9"/>
    <hyperlink r:id="rId15" ref="O10"/>
    <hyperlink r:id="rId16" ref="J11"/>
    <hyperlink r:id="rId17" ref="M11"/>
    <hyperlink r:id="rId18" ref="O11"/>
    <hyperlink r:id="rId19" ref="O12"/>
    <hyperlink r:id="rId20" ref="N13"/>
    <hyperlink r:id="rId21" ref="O14"/>
    <hyperlink r:id="rId22" ref="J15"/>
    <hyperlink r:id="rId23" ref="M15"/>
    <hyperlink r:id="rId24" ref="O15"/>
    <hyperlink r:id="rId25" ref="J16"/>
    <hyperlink r:id="rId26" ref="M16"/>
    <hyperlink r:id="rId27" ref="O16"/>
    <hyperlink r:id="rId28" ref="M17"/>
    <hyperlink r:id="rId29" ref="O17"/>
    <hyperlink r:id="rId30" ref="M18"/>
    <hyperlink r:id="rId31" ref="O18"/>
    <hyperlink r:id="rId32" ref="J19"/>
    <hyperlink r:id="rId33" ref="M19"/>
    <hyperlink r:id="rId34" ref="O19"/>
    <hyperlink r:id="rId35" ref="O20"/>
    <hyperlink r:id="rId36" ref="O22"/>
    <hyperlink r:id="rId37" ref="M23"/>
    <hyperlink r:id="rId38" ref="J24"/>
    <hyperlink r:id="rId39" ref="O24"/>
    <hyperlink r:id="rId40" ref="J26"/>
    <hyperlink r:id="rId41" ref="J28"/>
    <hyperlink r:id="rId42" ref="O28"/>
    <hyperlink r:id="rId43" ref="M29"/>
    <hyperlink r:id="rId44" ref="J30"/>
    <hyperlink r:id="rId45" ref="O30"/>
    <hyperlink r:id="rId46" ref="J31"/>
    <hyperlink r:id="rId47" ref="M31"/>
    <hyperlink r:id="rId48" ref="O32"/>
    <hyperlink r:id="rId49" ref="O33"/>
    <hyperlink r:id="rId50" ref="O34"/>
    <hyperlink r:id="rId51" ref="O35"/>
    <hyperlink r:id="rId52" ref="O36"/>
    <hyperlink r:id="rId53" ref="O37"/>
    <hyperlink r:id="rId54" ref="J39"/>
    <hyperlink r:id="rId55" ref="O39"/>
    <hyperlink r:id="rId56" ref="M42"/>
    <hyperlink r:id="rId57" ref="J43"/>
    <hyperlink r:id="rId58" ref="M43"/>
    <hyperlink r:id="rId59" ref="O43"/>
    <hyperlink r:id="rId60" ref="J44"/>
    <hyperlink r:id="rId61" ref="M44"/>
    <hyperlink r:id="rId62" ref="O44"/>
    <hyperlink r:id="rId63" ref="J45"/>
    <hyperlink r:id="rId64" ref="M45"/>
    <hyperlink r:id="rId65" ref="O45"/>
    <hyperlink r:id="rId66" ref="J46"/>
    <hyperlink r:id="rId67" ref="M46"/>
    <hyperlink r:id="rId68" ref="O46"/>
    <hyperlink r:id="rId69" ref="O48"/>
    <hyperlink r:id="rId70" ref="O50"/>
    <hyperlink r:id="rId71" ref="J51"/>
    <hyperlink r:id="rId72" ref="O51"/>
    <hyperlink r:id="rId73" ref="O54"/>
    <hyperlink r:id="rId74" ref="M65"/>
    <hyperlink r:id="rId75" ref="O65"/>
    <hyperlink r:id="rId76" ref="O66"/>
    <hyperlink r:id="rId77" ref="M136"/>
    <hyperlink r:id="rId78" ref="M137"/>
    <hyperlink r:id="rId79" ref="M138"/>
    <hyperlink r:id="rId80" ref="M139"/>
    <hyperlink r:id="rId81" ref="M140"/>
    <hyperlink r:id="rId82" ref="M141"/>
    <hyperlink r:id="rId83" ref="M142"/>
    <hyperlink r:id="rId84" ref="M143"/>
    <hyperlink r:id="rId85" ref="M144"/>
    <hyperlink r:id="rId86" ref="M145"/>
    <hyperlink r:id="rId87" ref="M146"/>
    <hyperlink r:id="rId88" ref="M150"/>
    <hyperlink r:id="rId89" ref="M158"/>
    <hyperlink r:id="rId90" ref="M159"/>
    <hyperlink r:id="rId91" ref="M160"/>
    <hyperlink r:id="rId92" ref="M161"/>
    <hyperlink r:id="rId93" ref="M184"/>
    <hyperlink r:id="rId94" ref="M185"/>
    <hyperlink r:id="rId95" ref="M186"/>
    <hyperlink r:id="rId96" ref="M187"/>
    <hyperlink r:id="rId97" ref="M188"/>
    <hyperlink r:id="rId98" ref="M189"/>
    <hyperlink r:id="rId99" ref="M190"/>
    <hyperlink r:id="rId100" ref="M191"/>
    <hyperlink r:id="rId101" ref="M192"/>
    <hyperlink r:id="rId102" ref="M193"/>
    <hyperlink r:id="rId103" ref="M194"/>
    <hyperlink r:id="rId104" ref="M195"/>
    <hyperlink r:id="rId105" ref="M196"/>
    <hyperlink r:id="rId106" ref="M245"/>
    <hyperlink r:id="rId107" ref="M250"/>
    <hyperlink r:id="rId108" ref="M265"/>
    <hyperlink r:id="rId109" ref="M266"/>
    <hyperlink r:id="rId110" ref="M278"/>
    <hyperlink r:id="rId111" ref="M284"/>
    <hyperlink r:id="rId112" ref="M286"/>
    <hyperlink r:id="rId113" ref="M290"/>
    <hyperlink r:id="rId114" ref="M298"/>
    <hyperlink r:id="rId115" ref="M300"/>
    <hyperlink r:id="rId116" ref="M306"/>
    <hyperlink r:id="rId117" ref="M307"/>
    <hyperlink r:id="rId118" ref="M308"/>
    <hyperlink r:id="rId119" ref="M310"/>
    <hyperlink r:id="rId120" ref="M319"/>
    <hyperlink r:id="rId121" ref="M326"/>
    <hyperlink r:id="rId122" ref="M349"/>
    <hyperlink r:id="rId123" ref="M350"/>
    <hyperlink r:id="rId124" ref="M354"/>
    <hyperlink r:id="rId125" ref="M355"/>
    <hyperlink r:id="rId126" ref="M357"/>
    <hyperlink r:id="rId127" ref="M360"/>
    <hyperlink r:id="rId128" ref="M422"/>
  </hyperlinks>
  <printOptions/>
  <pageMargins bottom="1.0" footer="0.0" header="0.0" left="0.75" right="0.75" top="1.0"/>
  <pageSetup orientation="landscape"/>
  <drawing r:id="rId129"/>
</worksheet>
</file>